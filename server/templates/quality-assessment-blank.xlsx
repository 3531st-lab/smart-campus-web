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50b914189f48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学年汇总表" sheetId="1" r:id="R524bc9b074a143e5"/>
    <x:sheet xmlns:r="http://schemas.openxmlformats.org/officeDocument/2006/relationships" name="学期汇总表" sheetId="2" r:id="R01e185fd1e4d429e"/>
    <x:sheet xmlns:r="http://schemas.openxmlformats.org/officeDocument/2006/relationships" name="学期情况一览表" sheetId="3" r:id="Rc45b05cb7a8d4f6c"/>
    <x:sheet xmlns:r="http://schemas.openxmlformats.org/officeDocument/2006/relationships" name="学期登记表" sheetId="4" r:id="R718e5089f13f42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5">
    <x:font>
      <x:sz val="11"/>
      <x:name val="Carlito"/>
    </x:font>
    <x:font>
      <x:b/>
      <x:sz val="14"/>
      <x:color rgb="FFFFFFFF"/>
      <x:name val="Carlito"/>
    </x:font>
    <x:font>
      <x:i/>
      <x:sz val="11"/>
      <x:color rgb="FF536878"/>
      <x:name val="Carlito"/>
    </x:font>
    <x:font>
      <x:b/>
      <x:sz val="11"/>
      <x:color rgb="FF163A56"/>
      <x:name val="Carlito"/>
    </x:font>
    <x:font>
      <x:b/>
      <x:sz val="11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AF7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  <x:fill>
      <x:patternFill patternType="solid">
        <x:fgColor rgb="FFDDEBF7"/>
      </x:patternFill>
    </x:fill>
    <x:fill>
      <x:patternFill patternType="solid">
        <x:fgColor rgb="FFE4DFEC"/>
      </x:patternFill>
    </x:fill>
    <x:fill>
      <x:patternFill patternType="solid">
        <x:fgColor rgb="FFFFF2CC"/>
      </x:patternFill>
    </x:fill>
    <x:fill>
      <x:patternFill patternType="solid">
        <x:fgColor rgb="FFF9FCFE"/>
      </x:patternFill>
    </x:fill>
    <x:fill>
      <x:patternFill patternType="solid">
        <x:fgColor rgb="FFFFFDF8"/>
      </x:patternFill>
    </x:fill>
    <x:fill>
      <x:patternFill patternType="solid">
        <x:fgColor rgb="FFF3F8FC"/>
      </x:patternFill>
    </x:fill>
  </x:fills>
  <x:borders count="1">
    <x:border/>
  </x:borders>
  <x:cellStyleXfs count="1">
    <x:xf numFmtId="0" fontId="0" fillId="0" borderId="0"/>
  </x:cellStyleXfs>
  <x:cellXfs count="4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3" fillId="8" borderId="0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0" fillId="10" borderId="0" xfId="0" applyNumberFormat="1" applyFont="1" applyFill="1" applyBorder="1"/>
    <x:xf numFmtId="0" fontId="0" fillId="11" borderId="0" xfId="0" applyNumberFormat="1" applyFont="1" applyFill="1" applyBorder="1"/>
    <x:xf numFmtId="0" fontId="0" fillId="9" borderId="0" xfId="0" applyNumberFormat="1" applyFont="1" applyFill="1" applyBorder="1" applyAlignment="1">
      <x:alignment horizontal="center"/>
    </x:xf>
    <x:xf numFmtId="0" fontId="0" fillId="10" borderId="0" xfId="0" applyNumberFormat="1" applyFont="1" applyFill="1" applyBorder="1" applyAlignment="1">
      <x:alignment horizontal="center"/>
    </x:xf>
    <x:xf numFmtId="0" fontId="0" fillId="11" borderId="0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 applyAlignment="1">
      <x:alignment horizontal="center" vertical="center"/>
    </x:xf>
    <x:xf numFmtId="0" fontId="0" fillId="11" borderId="0" xfId="0" applyNumberFormat="1" applyFont="1" applyFill="1" applyBorder="1" applyAlignment="1">
      <x:alignment horizontal="center" vertical="center"/>
    </x:xf>
    <x:xf numFmtId="200" fontId="0" fillId="10" borderId="0" xfId="0" applyNumberFormat="1" applyFont="1" applyFill="1" applyBorder="1" applyAlignment="1">
      <x:alignment horizontal="center" vertical="center"/>
    </x:xf>
    <x:xf numFmtId="200" fontId="0" fillId="11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0" fillId="5" borderId="0" xfId="0" applyNumberFormat="1" applyFont="1" applyFill="1" applyBorder="1"/>
    <x:xf numFmtId="0" fontId="0" fillId="6" borderId="0" xfId="0" applyNumberFormat="1" applyFont="1" applyFill="1" applyBorder="1"/>
    <x:xf numFmtId="0" fontId="0" fillId="7" borderId="0" xfId="0" applyNumberFormat="1" applyFont="1" applyFill="1" applyBorder="1"/>
    <x:xf numFmtId="0" fontId="0" fillId="8" borderId="0" xfId="0" applyNumberFormat="1" applyFont="1" applyFill="1" applyBorder="1"/>
    <x:xf numFmtId="0" fontId="4" fillId="0" borderId="0" xfId="0" applyNumberFormat="1" applyFont="1" applyFill="1" applyBorder="1"/>
    <x:xf numFmtId="0" fontId="0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/>
    </x:xf>
    <x:xf numFmtId="200" fontId="4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89caad09bd4fed" /><Relationship Type="http://schemas.openxmlformats.org/officeDocument/2006/relationships/theme" Target="/xl/theme/theme1.xml" Id="Raa31776240e943e0" /><Relationship Type="http://schemas.openxmlformats.org/officeDocument/2006/relationships/sharedStrings" Target="/xl/sharedStrings.xml" Id="Rbb8f08c6adc840ec" /><Relationship Type="http://schemas.openxmlformats.org/officeDocument/2006/relationships/worksheet" Target="/xl/worksheets/sheet1.xml" Id="R524bc9b074a143e5" /><Relationship Type="http://schemas.openxmlformats.org/officeDocument/2006/relationships/worksheet" Target="/xl/worksheets/sheet2.xml" Id="R01e185fd1e4d429e" /><Relationship Type="http://schemas.openxmlformats.org/officeDocument/2006/relationships/worksheet" Target="/xl/worksheets/sheet3.xml" Id="Rc45b05cb7a8d4f6c" /><Relationship Type="http://schemas.openxmlformats.org/officeDocument/2006/relationships/worksheet" Target="/xl/worksheets/sheet4.xml" Id="R718e5089f13f423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16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25" customHeight="1">
      <x:c r="A1" s="4" t="str">
        <x:v>2025-2026学年 综合素质测评学年汇总表（空白模板）</x:v>
      </x:c>
      <x:c r="B1" s="4"/>
      <x:c r="C1" s="4"/>
      <x:c r="D1" s="4"/>
      <x:c r="E1" s="4"/>
      <x:c r="F1" s="4"/>
      <x:c r="G1" s="4"/>
      <x:c r="H1" s="4"/>
    </x:row>
    <x:row r="2">
      <x:c r="A2" s="6" t="str">
        <x:v>填写说明：第一、第二学期得分均由对应学期汇总表同步，平均分和排名自动计算。</x:v>
      </x:c>
      <x:c r="B2" s="6"/>
      <x:c r="C2" s="6"/>
      <x:c r="D2" s="6"/>
      <x:c r="E2" s="6"/>
      <x:c r="F2" s="6"/>
      <x:c r="G2" s="6"/>
      <x:c r="H2" s="6"/>
    </x:row>
    <x:row r="3" ht="30" customHeight="1">
      <x:c r="A3" s="11" t="str">
        <x:v>序号</x:v>
      </x:c>
      <x:c r="B3" s="11" t="str">
        <x:v>班级</x:v>
      </x:c>
      <x:c r="C3" s="11" t="str">
        <x:v>学号</x:v>
      </x:c>
      <x:c r="D3" s="11" t="str">
        <x:v>姓名</x:v>
      </x:c>
      <x:c r="E3" s="11" t="str">
        <x:v>第一学期得分</x:v>
      </x:c>
      <x:c r="F3" s="11" t="str">
        <x:v>第二学期得分</x:v>
      </x:c>
      <x:c r="G3" s="11" t="str">
        <x:v>平均分</x:v>
      </x:c>
      <x:c r="H3" s="11" t="str">
        <x:v>排名</x:v>
      </x:c>
    </x:row>
    <x:row r="4" ht="20" customHeight="1">
      <x:c r="A4" s="12"/>
      <x:c r="B4" s="12"/>
      <x:c r="C4" s="12"/>
      <x:c r="D4" s="12"/>
      <x:c r="E4" s="13" t="str">
        <x:f>IF('学期汇总表'!C4="","",'学期汇总表'!J4)</x:f>
      </x:c>
      <x:c r="F4" s="13"/>
      <x:c r="G4" s="13" t="str">
        <x:f>IF(COUNT(E4:F4)=0,"",AVERAGE(E4:F4))</x:f>
      </x:c>
      <x:c r="H4" s="12" t="str">
        <x:f>IF(G4="","",RANK(G4,$G$4:$G$43,0))</x:f>
      </x:c>
    </x:row>
    <x:row r="5" ht="20" customHeight="1">
      <x:c r="A5" s="12"/>
      <x:c r="B5" s="12"/>
      <x:c r="C5" s="12"/>
      <x:c r="D5" s="12"/>
      <x:c r="E5" s="13" t="str">
        <x:f>IF('学期汇总表'!C5="","",'学期汇总表'!J5)</x:f>
      </x:c>
      <x:c r="F5" s="13"/>
      <x:c r="G5" s="13" t="str">
        <x:f>IF(COUNT(E5:F5)=0,"",AVERAGE(E5:F5))</x:f>
      </x:c>
      <x:c r="H5" s="12" t="str">
        <x:f>IF(G5="","",RANK(G5,$G$4:$G$43,0))</x:f>
      </x:c>
    </x:row>
    <x:row r="6" ht="20" customHeight="1">
      <x:c r="A6" s="12"/>
      <x:c r="B6" s="12"/>
      <x:c r="C6" s="12"/>
      <x:c r="D6" s="12"/>
      <x:c r="E6" s="13" t="str">
        <x:f>IF('学期汇总表'!C6="","",'学期汇总表'!J6)</x:f>
      </x:c>
      <x:c r="F6" s="13"/>
      <x:c r="G6" s="13" t="str">
        <x:f>IF(COUNT(E6:F6)=0,"",AVERAGE(E6:F6))</x:f>
      </x:c>
      <x:c r="H6" s="12" t="str">
        <x:f>IF(G6="","",RANK(G6,$G$4:$G$43,0))</x:f>
      </x:c>
    </x:row>
    <x:row r="7" ht="20" customHeight="1">
      <x:c r="A7" s="12"/>
      <x:c r="B7" s="12"/>
      <x:c r="C7" s="12"/>
      <x:c r="D7" s="12"/>
      <x:c r="E7" s="13" t="str">
        <x:f>IF('学期汇总表'!C7="","",'学期汇总表'!J7)</x:f>
      </x:c>
      <x:c r="F7" s="13"/>
      <x:c r="G7" s="13" t="str">
        <x:f>IF(COUNT(E7:F7)=0,"",AVERAGE(E7:F7))</x:f>
      </x:c>
      <x:c r="H7" s="12" t="str">
        <x:f>IF(G7="","",RANK(G7,$G$4:$G$43,0))</x:f>
      </x:c>
    </x:row>
    <x:row r="8" ht="20" customHeight="1">
      <x:c r="A8" s="12"/>
      <x:c r="B8" s="12"/>
      <x:c r="C8" s="12"/>
      <x:c r="D8" s="12"/>
      <x:c r="E8" s="13" t="str">
        <x:f>IF('学期汇总表'!C8="","",'学期汇总表'!J8)</x:f>
      </x:c>
      <x:c r="F8" s="13"/>
      <x:c r="G8" s="13" t="str">
        <x:f>IF(COUNT(E8:F8)=0,"",AVERAGE(E8:F8))</x:f>
      </x:c>
      <x:c r="H8" s="12" t="str">
        <x:f>IF(G8="","",RANK(G8,$G$4:$G$43,0))</x:f>
      </x:c>
    </x:row>
    <x:row r="9" ht="20" customHeight="1">
      <x:c r="A9" s="12"/>
      <x:c r="B9" s="12"/>
      <x:c r="C9" s="12"/>
      <x:c r="D9" s="12"/>
      <x:c r="E9" s="13" t="str">
        <x:f>IF('学期汇总表'!C9="","",'学期汇总表'!J9)</x:f>
      </x:c>
      <x:c r="F9" s="13"/>
      <x:c r="G9" s="13" t="str">
        <x:f>IF(COUNT(E9:F9)=0,"",AVERAGE(E9:F9))</x:f>
      </x:c>
      <x:c r="H9" s="12" t="str">
        <x:f>IF(G9="","",RANK(G9,$G$4:$G$43,0))</x:f>
      </x:c>
    </x:row>
    <x:row r="10" ht="20" customHeight="1">
      <x:c r="A10" s="12"/>
      <x:c r="B10" s="12"/>
      <x:c r="C10" s="12"/>
      <x:c r="D10" s="12"/>
      <x:c r="E10" s="13" t="str">
        <x:f>IF('学期汇总表'!C10="","",'学期汇总表'!J10)</x:f>
      </x:c>
      <x:c r="F10" s="13"/>
      <x:c r="G10" s="13" t="str">
        <x:f>IF(COUNT(E10:F10)=0,"",AVERAGE(E10:F10))</x:f>
      </x:c>
      <x:c r="H10" s="12" t="str">
        <x:f>IF(G10="","",RANK(G10,$G$4:$G$43,0))</x:f>
      </x:c>
    </x:row>
    <x:row r="11" ht="20" customHeight="1">
      <x:c r="A11" s="12"/>
      <x:c r="B11" s="12"/>
      <x:c r="C11" s="12"/>
      <x:c r="D11" s="12"/>
      <x:c r="E11" s="13" t="str">
        <x:f>IF('学期汇总表'!C11="","",'学期汇总表'!J11)</x:f>
      </x:c>
      <x:c r="F11" s="13"/>
      <x:c r="G11" s="13" t="str">
        <x:f>IF(COUNT(E11:F11)=0,"",AVERAGE(E11:F11))</x:f>
      </x:c>
      <x:c r="H11" s="12" t="str">
        <x:f>IF(G11="","",RANK(G11,$G$4:$G$43,0))</x:f>
      </x:c>
    </x:row>
    <x:row r="12" ht="20" customHeight="1">
      <x:c r="A12" s="12"/>
      <x:c r="B12" s="12"/>
      <x:c r="C12" s="12"/>
      <x:c r="D12" s="12"/>
      <x:c r="E12" s="13" t="str">
        <x:f>IF('学期汇总表'!C12="","",'学期汇总表'!J12)</x:f>
      </x:c>
      <x:c r="F12" s="13"/>
      <x:c r="G12" s="13" t="str">
        <x:f>IF(COUNT(E12:F12)=0,"",AVERAGE(E12:F12))</x:f>
      </x:c>
      <x:c r="H12" s="12" t="str">
        <x:f>IF(G12="","",RANK(G12,$G$4:$G$43,0))</x:f>
      </x:c>
    </x:row>
    <x:row r="13" ht="20" customHeight="1">
      <x:c r="A13" s="12"/>
      <x:c r="B13" s="12"/>
      <x:c r="C13" s="12"/>
      <x:c r="D13" s="12"/>
      <x:c r="E13" s="13" t="str">
        <x:f>IF('学期汇总表'!C13="","",'学期汇总表'!J13)</x:f>
      </x:c>
      <x:c r="F13" s="13"/>
      <x:c r="G13" s="13" t="str">
        <x:f>IF(COUNT(E13:F13)=0,"",AVERAGE(E13:F13))</x:f>
      </x:c>
      <x:c r="H13" s="12" t="str">
        <x:f>IF(G13="","",RANK(G13,$G$4:$G$43,0))</x:f>
      </x:c>
    </x:row>
    <x:row r="14" ht="20" customHeight="1">
      <x:c r="A14" s="12"/>
      <x:c r="B14" s="12"/>
      <x:c r="C14" s="12"/>
      <x:c r="D14" s="12"/>
      <x:c r="E14" s="13" t="str">
        <x:f>IF('学期汇总表'!C14="","",'学期汇总表'!J14)</x:f>
      </x:c>
      <x:c r="F14" s="13"/>
      <x:c r="G14" s="13" t="str">
        <x:f>IF(COUNT(E14:F14)=0,"",AVERAGE(E14:F14))</x:f>
      </x:c>
      <x:c r="H14" s="12" t="str">
        <x:f>IF(G14="","",RANK(G14,$G$4:$G$43,0))</x:f>
      </x:c>
    </x:row>
    <x:row r="15" ht="20" customHeight="1">
      <x:c r="A15" s="12"/>
      <x:c r="B15" s="12"/>
      <x:c r="C15" s="12"/>
      <x:c r="D15" s="12"/>
      <x:c r="E15" s="13" t="str">
        <x:f>IF('学期汇总表'!C15="","",'学期汇总表'!J15)</x:f>
      </x:c>
      <x:c r="F15" s="13"/>
      <x:c r="G15" s="13" t="str">
        <x:f>IF(COUNT(E15:F15)=0,"",AVERAGE(E15:F15))</x:f>
      </x:c>
      <x:c r="H15" s="12" t="str">
        <x:f>IF(G15="","",RANK(G15,$G$4:$G$43,0))</x:f>
      </x:c>
    </x:row>
    <x:row r="16" ht="20" customHeight="1">
      <x:c r="A16" s="12"/>
      <x:c r="B16" s="12"/>
      <x:c r="C16" s="12"/>
      <x:c r="D16" s="12"/>
      <x:c r="E16" s="13" t="str">
        <x:f>IF('学期汇总表'!C16="","",'学期汇总表'!J16)</x:f>
      </x:c>
      <x:c r="F16" s="13"/>
      <x:c r="G16" s="13" t="str">
        <x:f>IF(COUNT(E16:F16)=0,"",AVERAGE(E16:F16))</x:f>
      </x:c>
      <x:c r="H16" s="12" t="str">
        <x:f>IF(G16="","",RANK(G16,$G$4:$G$43,0))</x:f>
      </x:c>
    </x:row>
    <x:row r="17" ht="20" customHeight="1">
      <x:c r="A17" s="12"/>
      <x:c r="B17" s="12"/>
      <x:c r="C17" s="12"/>
      <x:c r="D17" s="12"/>
      <x:c r="E17" s="13" t="str">
        <x:f>IF('学期汇总表'!C17="","",'学期汇总表'!J17)</x:f>
      </x:c>
      <x:c r="F17" s="13"/>
      <x:c r="G17" s="13" t="str">
        <x:f>IF(COUNT(E17:F17)=0,"",AVERAGE(E17:F17))</x:f>
      </x:c>
      <x:c r="H17" s="12" t="str">
        <x:f>IF(G17="","",RANK(G17,$G$4:$G$43,0))</x:f>
      </x:c>
    </x:row>
    <x:row r="18" ht="20" customHeight="1">
      <x:c r="A18" s="12"/>
      <x:c r="B18" s="12"/>
      <x:c r="C18" s="12"/>
      <x:c r="D18" s="12"/>
      <x:c r="E18" s="13" t="str">
        <x:f>IF('学期汇总表'!C18="","",'学期汇总表'!J18)</x:f>
      </x:c>
      <x:c r="F18" s="13"/>
      <x:c r="G18" s="13" t="str">
        <x:f>IF(COUNT(E18:F18)=0,"",AVERAGE(E18:F18))</x:f>
      </x:c>
      <x:c r="H18" s="12" t="str">
        <x:f>IF(G18="","",RANK(G18,$G$4:$G$43,0))</x:f>
      </x:c>
    </x:row>
    <x:row r="19" ht="20" customHeight="1">
      <x:c r="A19" s="12"/>
      <x:c r="B19" s="12"/>
      <x:c r="C19" s="12"/>
      <x:c r="D19" s="12"/>
      <x:c r="E19" s="13" t="str">
        <x:f>IF('学期汇总表'!C19="","",'学期汇总表'!J19)</x:f>
      </x:c>
      <x:c r="F19" s="13"/>
      <x:c r="G19" s="13" t="str">
        <x:f>IF(COUNT(E19:F19)=0,"",AVERAGE(E19:F19))</x:f>
      </x:c>
      <x:c r="H19" s="12" t="str">
        <x:f>IF(G19="","",RANK(G19,$G$4:$G$43,0))</x:f>
      </x:c>
    </x:row>
    <x:row r="20" ht="20" customHeight="1">
      <x:c r="A20" s="12"/>
      <x:c r="B20" s="12"/>
      <x:c r="C20" s="12"/>
      <x:c r="D20" s="12"/>
      <x:c r="E20" s="13" t="str">
        <x:f>IF('学期汇总表'!C20="","",'学期汇总表'!J20)</x:f>
      </x:c>
      <x:c r="F20" s="13"/>
      <x:c r="G20" s="13" t="str">
        <x:f>IF(COUNT(E20:F20)=0,"",AVERAGE(E20:F20))</x:f>
      </x:c>
      <x:c r="H20" s="12" t="str">
        <x:f>IF(G20="","",RANK(G20,$G$4:$G$43,0))</x:f>
      </x:c>
    </x:row>
    <x:row r="21" ht="20" customHeight="1">
      <x:c r="A21" s="12"/>
      <x:c r="B21" s="12"/>
      <x:c r="C21" s="12"/>
      <x:c r="D21" s="12"/>
      <x:c r="E21" s="13" t="str">
        <x:f>IF('学期汇总表'!C21="","",'学期汇总表'!J21)</x:f>
      </x:c>
      <x:c r="F21" s="13"/>
      <x:c r="G21" s="13" t="str">
        <x:f>IF(COUNT(E21:F21)=0,"",AVERAGE(E21:F21))</x:f>
      </x:c>
      <x:c r="H21" s="12" t="str">
        <x:f>IF(G21="","",RANK(G21,$G$4:$G$43,0))</x:f>
      </x:c>
    </x:row>
    <x:row r="22" ht="20" customHeight="1">
      <x:c r="A22" s="12"/>
      <x:c r="B22" s="12"/>
      <x:c r="C22" s="12"/>
      <x:c r="D22" s="12"/>
      <x:c r="E22" s="13" t="str">
        <x:f>IF('学期汇总表'!C22="","",'学期汇总表'!J22)</x:f>
      </x:c>
      <x:c r="F22" s="13"/>
      <x:c r="G22" s="13" t="str">
        <x:f>IF(COUNT(E22:F22)=0,"",AVERAGE(E22:F22))</x:f>
      </x:c>
      <x:c r="H22" s="12" t="str">
        <x:f>IF(G22="","",RANK(G22,$G$4:$G$43,0))</x:f>
      </x:c>
    </x:row>
    <x:row r="23" ht="20" customHeight="1">
      <x:c r="A23" s="12"/>
      <x:c r="B23" s="12"/>
      <x:c r="C23" s="12"/>
      <x:c r="D23" s="12"/>
      <x:c r="E23" s="13" t="str">
        <x:f>IF('学期汇总表'!C23="","",'学期汇总表'!J23)</x:f>
      </x:c>
      <x:c r="F23" s="13"/>
      <x:c r="G23" s="13" t="str">
        <x:f>IF(COUNT(E23:F23)=0,"",AVERAGE(E23:F23))</x:f>
      </x:c>
      <x:c r="H23" s="12" t="str">
        <x:f>IF(G23="","",RANK(G23,$G$4:$G$43,0))</x:f>
      </x:c>
    </x:row>
    <x:row r="24" ht="20" customHeight="1">
      <x:c r="A24" s="12"/>
      <x:c r="B24" s="12"/>
      <x:c r="C24" s="12"/>
      <x:c r="D24" s="12"/>
      <x:c r="E24" s="13" t="str">
        <x:f>IF('学期汇总表'!C24="","",'学期汇总表'!J24)</x:f>
      </x:c>
      <x:c r="F24" s="13"/>
      <x:c r="G24" s="13" t="str">
        <x:f>IF(COUNT(E24:F24)=0,"",AVERAGE(E24:F24))</x:f>
      </x:c>
      <x:c r="H24" s="12" t="str">
        <x:f>IF(G24="","",RANK(G24,$G$4:$G$43,0))</x:f>
      </x:c>
    </x:row>
    <x:row r="25" ht="20" customHeight="1">
      <x:c r="A25" s="12"/>
      <x:c r="B25" s="12"/>
      <x:c r="C25" s="12"/>
      <x:c r="D25" s="12"/>
      <x:c r="E25" s="13" t="str">
        <x:f>IF('学期汇总表'!C25="","",'学期汇总表'!J25)</x:f>
      </x:c>
      <x:c r="F25" s="13"/>
      <x:c r="G25" s="13" t="str">
        <x:f>IF(COUNT(E25:F25)=0,"",AVERAGE(E25:F25))</x:f>
      </x:c>
      <x:c r="H25" s="12" t="str">
        <x:f>IF(G25="","",RANK(G25,$G$4:$G$43,0))</x:f>
      </x:c>
    </x:row>
    <x:row r="26" ht="20" customHeight="1">
      <x:c r="A26" s="12"/>
      <x:c r="B26" s="12"/>
      <x:c r="C26" s="12"/>
      <x:c r="D26" s="12"/>
      <x:c r="E26" s="13" t="str">
        <x:f>IF('学期汇总表'!C26="","",'学期汇总表'!J26)</x:f>
      </x:c>
      <x:c r="F26" s="13"/>
      <x:c r="G26" s="13" t="str">
        <x:f>IF(COUNT(E26:F26)=0,"",AVERAGE(E26:F26))</x:f>
      </x:c>
      <x:c r="H26" s="12" t="str">
        <x:f>IF(G26="","",RANK(G26,$G$4:$G$43,0))</x:f>
      </x:c>
    </x:row>
    <x:row r="27" ht="20" customHeight="1">
      <x:c r="A27" s="12"/>
      <x:c r="B27" s="12"/>
      <x:c r="C27" s="12"/>
      <x:c r="D27" s="12"/>
      <x:c r="E27" s="13" t="str">
        <x:f>IF('学期汇总表'!C27="","",'学期汇总表'!J27)</x:f>
      </x:c>
      <x:c r="F27" s="13"/>
      <x:c r="G27" s="13" t="str">
        <x:f>IF(COUNT(E27:F27)=0,"",AVERAGE(E27:F27))</x:f>
      </x:c>
      <x:c r="H27" s="12" t="str">
        <x:f>IF(G27="","",RANK(G27,$G$4:$G$43,0))</x:f>
      </x:c>
    </x:row>
    <x:row r="28" ht="20" customHeight="1">
      <x:c r="A28" s="12"/>
      <x:c r="B28" s="12"/>
      <x:c r="C28" s="12"/>
      <x:c r="D28" s="12"/>
      <x:c r="E28" s="13" t="str">
        <x:f>IF('学期汇总表'!C28="","",'学期汇总表'!J28)</x:f>
      </x:c>
      <x:c r="F28" s="13"/>
      <x:c r="G28" s="13" t="str">
        <x:f>IF(COUNT(E28:F28)=0,"",AVERAGE(E28:F28))</x:f>
      </x:c>
      <x:c r="H28" s="12" t="str">
        <x:f>IF(G28="","",RANK(G28,$G$4:$G$43,0))</x:f>
      </x:c>
    </x:row>
    <x:row r="29" ht="20" customHeight="1">
      <x:c r="A29" s="12"/>
      <x:c r="B29" s="12"/>
      <x:c r="C29" s="12"/>
      <x:c r="D29" s="12"/>
      <x:c r="E29" s="13" t="str">
        <x:f>IF('学期汇总表'!C29="","",'学期汇总表'!J29)</x:f>
      </x:c>
      <x:c r="F29" s="13"/>
      <x:c r="G29" s="13" t="str">
        <x:f>IF(COUNT(E29:F29)=0,"",AVERAGE(E29:F29))</x:f>
      </x:c>
      <x:c r="H29" s="12" t="str">
        <x:f>IF(G29="","",RANK(G29,$G$4:$G$43,0))</x:f>
      </x:c>
    </x:row>
    <x:row r="30" ht="20" customHeight="1">
      <x:c r="A30" s="12"/>
      <x:c r="B30" s="12"/>
      <x:c r="C30" s="12"/>
      <x:c r="D30" s="12"/>
      <x:c r="E30" s="13" t="str">
        <x:f>IF('学期汇总表'!C30="","",'学期汇总表'!J30)</x:f>
      </x:c>
      <x:c r="F30" s="13"/>
      <x:c r="G30" s="13" t="str">
        <x:f>IF(COUNT(E30:F30)=0,"",AVERAGE(E30:F30))</x:f>
      </x:c>
      <x:c r="H30" s="12" t="str">
        <x:f>IF(G30="","",RANK(G30,$G$4:$G$43,0))</x:f>
      </x:c>
    </x:row>
    <x:row r="31" ht="20" customHeight="1">
      <x:c r="A31" s="12"/>
      <x:c r="B31" s="12"/>
      <x:c r="C31" s="12"/>
      <x:c r="D31" s="12"/>
      <x:c r="E31" s="13" t="str">
        <x:f>IF('学期汇总表'!C31="","",'学期汇总表'!J31)</x:f>
      </x:c>
      <x:c r="F31" s="13"/>
      <x:c r="G31" s="13" t="str">
        <x:f>IF(COUNT(E31:F31)=0,"",AVERAGE(E31:F31))</x:f>
      </x:c>
      <x:c r="H31" s="12" t="str">
        <x:f>IF(G31="","",RANK(G31,$G$4:$G$43,0))</x:f>
      </x:c>
    </x:row>
    <x:row r="32" ht="20" customHeight="1">
      <x:c r="A32" s="12"/>
      <x:c r="B32" s="12"/>
      <x:c r="C32" s="12"/>
      <x:c r="D32" s="12"/>
      <x:c r="E32" s="13" t="str">
        <x:f>IF('学期汇总表'!C32="","",'学期汇总表'!J32)</x:f>
      </x:c>
      <x:c r="F32" s="13"/>
      <x:c r="G32" s="13" t="str">
        <x:f>IF(COUNT(E32:F32)=0,"",AVERAGE(E32:F32))</x:f>
      </x:c>
      <x:c r="H32" s="12" t="str">
        <x:f>IF(G32="","",RANK(G32,$G$4:$G$43,0))</x:f>
      </x:c>
    </x:row>
    <x:row r="33" ht="20" customHeight="1">
      <x:c r="A33" s="12"/>
      <x:c r="B33" s="12"/>
      <x:c r="C33" s="12"/>
      <x:c r="D33" s="12"/>
      <x:c r="E33" s="13" t="str">
        <x:f>IF('学期汇总表'!C33="","",'学期汇总表'!J33)</x:f>
      </x:c>
      <x:c r="F33" s="13"/>
      <x:c r="G33" s="13" t="str">
        <x:f>IF(COUNT(E33:F33)=0,"",AVERAGE(E33:F33))</x:f>
      </x:c>
      <x:c r="H33" s="12" t="str">
        <x:f>IF(G33="","",RANK(G33,$G$4:$G$43,0))</x:f>
      </x:c>
    </x:row>
    <x:row r="34" ht="20" customHeight="1">
      <x:c r="A34" s="12"/>
      <x:c r="B34" s="12"/>
      <x:c r="C34" s="12"/>
      <x:c r="D34" s="12"/>
      <x:c r="E34" s="13" t="str">
        <x:f>IF('学期汇总表'!C34="","",'学期汇总表'!J34)</x:f>
      </x:c>
      <x:c r="F34" s="13"/>
      <x:c r="G34" s="13" t="str">
        <x:f>IF(COUNT(E34:F34)=0,"",AVERAGE(E34:F34))</x:f>
      </x:c>
      <x:c r="H34" s="12" t="str">
        <x:f>IF(G34="","",RANK(G34,$G$4:$G$43,0))</x:f>
      </x:c>
    </x:row>
    <x:row r="35" ht="20" customHeight="1">
      <x:c r="A35" s="12"/>
      <x:c r="B35" s="12"/>
      <x:c r="C35" s="12"/>
      <x:c r="D35" s="12"/>
      <x:c r="E35" s="13" t="str">
        <x:f>IF('学期汇总表'!C35="","",'学期汇总表'!J35)</x:f>
      </x:c>
      <x:c r="F35" s="13"/>
      <x:c r="G35" s="13" t="str">
        <x:f>IF(COUNT(E35:F35)=0,"",AVERAGE(E35:F35))</x:f>
      </x:c>
      <x:c r="H35" s="12" t="str">
        <x:f>IF(G35="","",RANK(G35,$G$4:$G$43,0))</x:f>
      </x:c>
    </x:row>
    <x:row r="36" ht="20" customHeight="1">
      <x:c r="A36" s="12"/>
      <x:c r="B36" s="12"/>
      <x:c r="C36" s="12"/>
      <x:c r="D36" s="12"/>
      <x:c r="E36" s="13" t="str">
        <x:f>IF('学期汇总表'!C36="","",'学期汇总表'!J36)</x:f>
      </x:c>
      <x:c r="F36" s="13"/>
      <x:c r="G36" s="13" t="str">
        <x:f>IF(COUNT(E36:F36)=0,"",AVERAGE(E36:F36))</x:f>
      </x:c>
      <x:c r="H36" s="12" t="str">
        <x:f>IF(G36="","",RANK(G36,$G$4:$G$43,0))</x:f>
      </x:c>
    </x:row>
    <x:row r="37" ht="20" customHeight="1">
      <x:c r="A37" s="12"/>
      <x:c r="B37" s="12"/>
      <x:c r="C37" s="12"/>
      <x:c r="D37" s="12"/>
      <x:c r="E37" s="13" t="str">
        <x:f>IF('学期汇总表'!C37="","",'学期汇总表'!J37)</x:f>
      </x:c>
      <x:c r="F37" s="13"/>
      <x:c r="G37" s="13" t="str">
        <x:f>IF(COUNT(E37:F37)=0,"",AVERAGE(E37:F37))</x:f>
      </x:c>
      <x:c r="H37" s="12" t="str">
        <x:f>IF(G37="","",RANK(G37,$G$4:$G$43,0))</x:f>
      </x:c>
    </x:row>
    <x:row r="38" ht="20" customHeight="1">
      <x:c r="A38" s="12"/>
      <x:c r="B38" s="12"/>
      <x:c r="C38" s="12"/>
      <x:c r="D38" s="12"/>
      <x:c r="E38" s="13" t="str">
        <x:f>IF('学期汇总表'!C38="","",'学期汇总表'!J38)</x:f>
      </x:c>
      <x:c r="F38" s="13"/>
      <x:c r="G38" s="13" t="str">
        <x:f>IF(COUNT(E38:F38)=0,"",AVERAGE(E38:F38))</x:f>
      </x:c>
      <x:c r="H38" s="12" t="str">
        <x:f>IF(G38="","",RANK(G38,$G$4:$G$43,0))</x:f>
      </x:c>
    </x:row>
    <x:row r="39" ht="20" customHeight="1">
      <x:c r="A39" s="12"/>
      <x:c r="B39" s="12"/>
      <x:c r="C39" s="12"/>
      <x:c r="D39" s="12"/>
      <x:c r="E39" s="13" t="str">
        <x:f>IF('学期汇总表'!C39="","",'学期汇总表'!J39)</x:f>
      </x:c>
      <x:c r="F39" s="13"/>
      <x:c r="G39" s="13" t="str">
        <x:f>IF(COUNT(E39:F39)=0,"",AVERAGE(E39:F39))</x:f>
      </x:c>
      <x:c r="H39" s="12" t="str">
        <x:f>IF(G39="","",RANK(G39,$G$4:$G$43,0))</x:f>
      </x:c>
    </x:row>
    <x:row r="40" ht="20" customHeight="1">
      <x:c r="A40" s="12"/>
      <x:c r="B40" s="12"/>
      <x:c r="C40" s="12"/>
      <x:c r="D40" s="12"/>
      <x:c r="E40" s="13" t="str">
        <x:f>IF('学期汇总表'!C40="","",'学期汇总表'!J40)</x:f>
      </x:c>
      <x:c r="F40" s="13"/>
      <x:c r="G40" s="13" t="str">
        <x:f>IF(COUNT(E40:F40)=0,"",AVERAGE(E40:F40))</x:f>
      </x:c>
      <x:c r="H40" s="12" t="str">
        <x:f>IF(G40="","",RANK(G40,$G$4:$G$43,0))</x:f>
      </x:c>
    </x:row>
    <x:row r="41" ht="20" customHeight="1">
      <x:c r="A41" s="12"/>
      <x:c r="B41" s="12"/>
      <x:c r="C41" s="12"/>
      <x:c r="D41" s="12"/>
      <x:c r="E41" s="13" t="str">
        <x:f>IF('学期汇总表'!C41="","",'学期汇总表'!J41)</x:f>
      </x:c>
      <x:c r="F41" s="13"/>
      <x:c r="G41" s="13" t="str">
        <x:f>IF(COUNT(E41:F41)=0,"",AVERAGE(E41:F41))</x:f>
      </x:c>
      <x:c r="H41" s="12" t="str">
        <x:f>IF(G41="","",RANK(G41,$G$4:$G$43,0))</x:f>
      </x:c>
    </x:row>
    <x:row r="42" ht="20" customHeight="1">
      <x:c r="A42" s="12"/>
      <x:c r="B42" s="12"/>
      <x:c r="C42" s="12"/>
      <x:c r="D42" s="12"/>
      <x:c r="E42" s="13" t="str">
        <x:f>IF('学期汇总表'!C42="","",'学期汇总表'!J42)</x:f>
      </x:c>
      <x:c r="F42" s="13"/>
      <x:c r="G42" s="13" t="str">
        <x:f>IF(COUNT(E42:F42)=0,"",AVERAGE(E42:F42))</x:f>
      </x:c>
      <x:c r="H42" s="12" t="str">
        <x:f>IF(G42="","",RANK(G42,$G$4:$G$43,0))</x:f>
      </x:c>
    </x:row>
    <x:row r="43" ht="20" customHeight="1">
      <x:c r="A43" s="12"/>
      <x:c r="B43" s="12"/>
      <x:c r="C43" s="12"/>
      <x:c r="D43" s="12"/>
      <x:c r="E43" s="13" t="str">
        <x:f>IF('学期汇总表'!C43="","",'学期汇总表'!J43)</x:f>
      </x:c>
      <x:c r="F43" s="13"/>
      <x:c r="G43" s="13" t="str">
        <x:f>IF(COUNT(E43:F43)=0,"",AVERAGE(E43:F43))</x:f>
      </x:c>
      <x:c r="H43" s="12" t="str">
        <x:f>IF(G43="","",RANK(G43,$G$4:$G$43,0))</x:f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16" hidden="0" customWidth="1"/>
    <x:col min="4" max="4" width="14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</x:cols>
  <x:sheetData>
    <x:row r="1" ht="25" customHeight="1">
      <x:c r="A1" s="4" t="str">
        <x:v>2025-2026学年第一学期 综合素质测评汇总表（空白模板）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3" ht="30" customHeight="1">
      <x:c r="A3" s="11" t="str">
        <x:v>序号</x:v>
      </x:c>
      <x:c r="B3" s="11" t="str">
        <x:v>班级</x:v>
      </x:c>
      <x:c r="C3" s="11" t="str">
        <x:v>学号</x:v>
      </x:c>
      <x:c r="D3" s="11" t="str">
        <x:v>姓名</x:v>
      </x:c>
      <x:c r="E3" s="14" t="str">
        <x:v>德育得分</x:v>
      </x:c>
      <x:c r="F3" s="15" t="str">
        <x:v>智育得分</x:v>
      </x:c>
      <x:c r="G3" s="16" t="str">
        <x:v>体育得分</x:v>
      </x:c>
      <x:c r="H3" s="17" t="str">
        <x:v>美育得分</x:v>
      </x:c>
      <x:c r="I3" s="18" t="str">
        <x:v>劳育得分</x:v>
      </x:c>
      <x:c r="J3" s="11" t="str">
        <x:v>总分</x:v>
      </x:c>
      <x:c r="K3" s="11" t="str">
        <x:v>排名</x:v>
      </x:c>
    </x:row>
    <x:row r="4" ht="20" customHeight="1">
      <x:c r="A4" s="12"/>
      <x:c r="B4" s="12"/>
      <x:c r="C4" s="12"/>
      <x:c r="D4" s="12"/>
      <x:c r="E4" s="13" t="str">
        <x:f>IF($C4="","",'学期情况一览表'!G4)</x:f>
      </x:c>
      <x:c r="F4" s="13" t="str">
        <x:f>IF($C4="","",'学期情况一览表'!K4)</x:f>
      </x:c>
      <x:c r="G4" s="13" t="str">
        <x:f>IF($C4="","",'学期情况一览表'!O4)</x:f>
      </x:c>
      <x:c r="H4" s="13" t="str">
        <x:f>IF($C4="","",'学期情况一览表'!S4)</x:f>
      </x:c>
      <x:c r="I4" s="13" t="str">
        <x:f>IF($C4="","",'学期情况一览表'!W4)</x:f>
      </x:c>
      <x:c r="J4" s="13" t="str">
        <x:f>IF($C4="","",E4+F4+G4+H4+I4)</x:f>
      </x:c>
      <x:c r="K4" s="12" t="str">
        <x:f>IF(J4="","",RANK(J4,$J$4:$J$43,0))</x:f>
      </x:c>
    </x:row>
    <x:row r="5" ht="20" customHeight="1">
      <x:c r="A5" s="12"/>
      <x:c r="B5" s="12"/>
      <x:c r="C5" s="12"/>
      <x:c r="D5" s="12"/>
      <x:c r="E5" s="13" t="str">
        <x:f>IF($C5="","",'学期情况一览表'!G5)</x:f>
      </x:c>
      <x:c r="F5" s="13" t="str">
        <x:f>IF($C5="","",'学期情况一览表'!K5)</x:f>
      </x:c>
      <x:c r="G5" s="13" t="str">
        <x:f>IF($C5="","",'学期情况一览表'!O5)</x:f>
      </x:c>
      <x:c r="H5" s="13" t="str">
        <x:f>IF($C5="","",'学期情况一览表'!S5)</x:f>
      </x:c>
      <x:c r="I5" s="13" t="str">
        <x:f>IF($C5="","",'学期情况一览表'!W5)</x:f>
      </x:c>
      <x:c r="J5" s="13" t="str">
        <x:f>IF($C5="","",E5+F5+G5+H5+I5)</x:f>
      </x:c>
      <x:c r="K5" s="12" t="str">
        <x:f>IF(J5="","",RANK(J5,$J$4:$J$43,0))</x:f>
      </x:c>
    </x:row>
    <x:row r="6" ht="20" customHeight="1">
      <x:c r="A6" s="12"/>
      <x:c r="B6" s="12"/>
      <x:c r="C6" s="12"/>
      <x:c r="D6" s="12"/>
      <x:c r="E6" s="13" t="str">
        <x:f>IF($C6="","",'学期情况一览表'!G6)</x:f>
      </x:c>
      <x:c r="F6" s="13" t="str">
        <x:f>IF($C6="","",'学期情况一览表'!K6)</x:f>
      </x:c>
      <x:c r="G6" s="13" t="str">
        <x:f>IF($C6="","",'学期情况一览表'!O6)</x:f>
      </x:c>
      <x:c r="H6" s="13" t="str">
        <x:f>IF($C6="","",'学期情况一览表'!S6)</x:f>
      </x:c>
      <x:c r="I6" s="13" t="str">
        <x:f>IF($C6="","",'学期情况一览表'!W6)</x:f>
      </x:c>
      <x:c r="J6" s="13" t="str">
        <x:f>IF($C6="","",E6+F6+G6+H6+I6)</x:f>
      </x:c>
      <x:c r="K6" s="12" t="str">
        <x:f>IF(J6="","",RANK(J6,$J$4:$J$43,0))</x:f>
      </x:c>
    </x:row>
    <x:row r="7" ht="20" customHeight="1">
      <x:c r="A7" s="12"/>
      <x:c r="B7" s="12"/>
      <x:c r="C7" s="12"/>
      <x:c r="D7" s="12"/>
      <x:c r="E7" s="13" t="str">
        <x:f>IF($C7="","",'学期情况一览表'!G7)</x:f>
      </x:c>
      <x:c r="F7" s="13" t="str">
        <x:f>IF($C7="","",'学期情况一览表'!K7)</x:f>
      </x:c>
      <x:c r="G7" s="13" t="str">
        <x:f>IF($C7="","",'学期情况一览表'!O7)</x:f>
      </x:c>
      <x:c r="H7" s="13" t="str">
        <x:f>IF($C7="","",'学期情况一览表'!S7)</x:f>
      </x:c>
      <x:c r="I7" s="13" t="str">
        <x:f>IF($C7="","",'学期情况一览表'!W7)</x:f>
      </x:c>
      <x:c r="J7" s="13" t="str">
        <x:f>IF($C7="","",E7+F7+G7+H7+I7)</x:f>
      </x:c>
      <x:c r="K7" s="12" t="str">
        <x:f>IF(J7="","",RANK(J7,$J$4:$J$43,0))</x:f>
      </x:c>
    </x:row>
    <x:row r="8" ht="20" customHeight="1">
      <x:c r="A8" s="12"/>
      <x:c r="B8" s="12"/>
      <x:c r="C8" s="12"/>
      <x:c r="D8" s="12"/>
      <x:c r="E8" s="13" t="str">
        <x:f>IF($C8="","",'学期情况一览表'!G8)</x:f>
      </x:c>
      <x:c r="F8" s="13" t="str">
        <x:f>IF($C8="","",'学期情况一览表'!K8)</x:f>
      </x:c>
      <x:c r="G8" s="13" t="str">
        <x:f>IF($C8="","",'学期情况一览表'!O8)</x:f>
      </x:c>
      <x:c r="H8" s="13" t="str">
        <x:f>IF($C8="","",'学期情况一览表'!S8)</x:f>
      </x:c>
      <x:c r="I8" s="13" t="str">
        <x:f>IF($C8="","",'学期情况一览表'!W8)</x:f>
      </x:c>
      <x:c r="J8" s="13" t="str">
        <x:f>IF($C8="","",E8+F8+G8+H8+I8)</x:f>
      </x:c>
      <x:c r="K8" s="12" t="str">
        <x:f>IF(J8="","",RANK(J8,$J$4:$J$43,0))</x:f>
      </x:c>
    </x:row>
    <x:row r="9" ht="20" customHeight="1">
      <x:c r="A9" s="12"/>
      <x:c r="B9" s="12"/>
      <x:c r="C9" s="12"/>
      <x:c r="D9" s="12"/>
      <x:c r="E9" s="13" t="str">
        <x:f>IF($C9="","",'学期情况一览表'!G9)</x:f>
      </x:c>
      <x:c r="F9" s="13" t="str">
        <x:f>IF($C9="","",'学期情况一览表'!K9)</x:f>
      </x:c>
      <x:c r="G9" s="13" t="str">
        <x:f>IF($C9="","",'学期情况一览表'!O9)</x:f>
      </x:c>
      <x:c r="H9" s="13" t="str">
        <x:f>IF($C9="","",'学期情况一览表'!S9)</x:f>
      </x:c>
      <x:c r="I9" s="13" t="str">
        <x:f>IF($C9="","",'学期情况一览表'!W9)</x:f>
      </x:c>
      <x:c r="J9" s="13" t="str">
        <x:f>IF($C9="","",E9+F9+G9+H9+I9)</x:f>
      </x:c>
      <x:c r="K9" s="12" t="str">
        <x:f>IF(J9="","",RANK(J9,$J$4:$J$43,0))</x:f>
      </x:c>
    </x:row>
    <x:row r="10" ht="20" customHeight="1">
      <x:c r="A10" s="12"/>
      <x:c r="B10" s="12"/>
      <x:c r="C10" s="12"/>
      <x:c r="D10" s="12"/>
      <x:c r="E10" s="13" t="str">
        <x:f>IF($C10="","",'学期情况一览表'!G10)</x:f>
      </x:c>
      <x:c r="F10" s="13" t="str">
        <x:f>IF($C10="","",'学期情况一览表'!K10)</x:f>
      </x:c>
      <x:c r="G10" s="13" t="str">
        <x:f>IF($C10="","",'学期情况一览表'!O10)</x:f>
      </x:c>
      <x:c r="H10" s="13" t="str">
        <x:f>IF($C10="","",'学期情况一览表'!S10)</x:f>
      </x:c>
      <x:c r="I10" s="13" t="str">
        <x:f>IF($C10="","",'学期情况一览表'!W10)</x:f>
      </x:c>
      <x:c r="J10" s="13" t="str">
        <x:f>IF($C10="","",E10+F10+G10+H10+I10)</x:f>
      </x:c>
      <x:c r="K10" s="12" t="str">
        <x:f>IF(J10="","",RANK(J10,$J$4:$J$43,0))</x:f>
      </x:c>
    </x:row>
    <x:row r="11" ht="20" customHeight="1">
      <x:c r="A11" s="12"/>
      <x:c r="B11" s="12"/>
      <x:c r="C11" s="12"/>
      <x:c r="D11" s="12"/>
      <x:c r="E11" s="13" t="str">
        <x:f>IF($C11="","",'学期情况一览表'!G11)</x:f>
      </x:c>
      <x:c r="F11" s="13" t="str">
        <x:f>IF($C11="","",'学期情况一览表'!K11)</x:f>
      </x:c>
      <x:c r="G11" s="13" t="str">
        <x:f>IF($C11="","",'学期情况一览表'!O11)</x:f>
      </x:c>
      <x:c r="H11" s="13" t="str">
        <x:f>IF($C11="","",'学期情况一览表'!S11)</x:f>
      </x:c>
      <x:c r="I11" s="13" t="str">
        <x:f>IF($C11="","",'学期情况一览表'!W11)</x:f>
      </x:c>
      <x:c r="J11" s="13" t="str">
        <x:f>IF($C11="","",E11+F11+G11+H11+I11)</x:f>
      </x:c>
      <x:c r="K11" s="12" t="str">
        <x:f>IF(J11="","",RANK(J11,$J$4:$J$43,0))</x:f>
      </x:c>
    </x:row>
    <x:row r="12" ht="20" customHeight="1">
      <x:c r="A12" s="12"/>
      <x:c r="B12" s="12"/>
      <x:c r="C12" s="12"/>
      <x:c r="D12" s="12"/>
      <x:c r="E12" s="13" t="str">
        <x:f>IF($C12="","",'学期情况一览表'!G12)</x:f>
      </x:c>
      <x:c r="F12" s="13" t="str">
        <x:f>IF($C12="","",'学期情况一览表'!K12)</x:f>
      </x:c>
      <x:c r="G12" s="13" t="str">
        <x:f>IF($C12="","",'学期情况一览表'!O12)</x:f>
      </x:c>
      <x:c r="H12" s="13" t="str">
        <x:f>IF($C12="","",'学期情况一览表'!S12)</x:f>
      </x:c>
      <x:c r="I12" s="13" t="str">
        <x:f>IF($C12="","",'学期情况一览表'!W12)</x:f>
      </x:c>
      <x:c r="J12" s="13" t="str">
        <x:f>IF($C12="","",E12+F12+G12+H12+I12)</x:f>
      </x:c>
      <x:c r="K12" s="12" t="str">
        <x:f>IF(J12="","",RANK(J12,$J$4:$J$43,0))</x:f>
      </x:c>
    </x:row>
    <x:row r="13" ht="20" customHeight="1">
      <x:c r="A13" s="12"/>
      <x:c r="B13" s="12"/>
      <x:c r="C13" s="12"/>
      <x:c r="D13" s="12"/>
      <x:c r="E13" s="13" t="str">
        <x:f>IF($C13="","",'学期情况一览表'!G13)</x:f>
      </x:c>
      <x:c r="F13" s="13" t="str">
        <x:f>IF($C13="","",'学期情况一览表'!K13)</x:f>
      </x:c>
      <x:c r="G13" s="13" t="str">
        <x:f>IF($C13="","",'学期情况一览表'!O13)</x:f>
      </x:c>
      <x:c r="H13" s="13" t="str">
        <x:f>IF($C13="","",'学期情况一览表'!S13)</x:f>
      </x:c>
      <x:c r="I13" s="13" t="str">
        <x:f>IF($C13="","",'学期情况一览表'!W13)</x:f>
      </x:c>
      <x:c r="J13" s="13" t="str">
        <x:f>IF($C13="","",E13+F13+G13+H13+I13)</x:f>
      </x:c>
      <x:c r="K13" s="12" t="str">
        <x:f>IF(J13="","",RANK(J13,$J$4:$J$43,0))</x:f>
      </x:c>
    </x:row>
    <x:row r="14" ht="20" customHeight="1">
      <x:c r="A14" s="12"/>
      <x:c r="B14" s="12"/>
      <x:c r="C14" s="12"/>
      <x:c r="D14" s="12"/>
      <x:c r="E14" s="13" t="str">
        <x:f>IF($C14="","",'学期情况一览表'!G14)</x:f>
      </x:c>
      <x:c r="F14" s="13" t="str">
        <x:f>IF($C14="","",'学期情况一览表'!K14)</x:f>
      </x:c>
      <x:c r="G14" s="13" t="str">
        <x:f>IF($C14="","",'学期情况一览表'!O14)</x:f>
      </x:c>
      <x:c r="H14" s="13" t="str">
        <x:f>IF($C14="","",'学期情况一览表'!S14)</x:f>
      </x:c>
      <x:c r="I14" s="13" t="str">
        <x:f>IF($C14="","",'学期情况一览表'!W14)</x:f>
      </x:c>
      <x:c r="J14" s="13" t="str">
        <x:f>IF($C14="","",E14+F14+G14+H14+I14)</x:f>
      </x:c>
      <x:c r="K14" s="12" t="str">
        <x:f>IF(J14="","",RANK(J14,$J$4:$J$43,0))</x:f>
      </x:c>
    </x:row>
    <x:row r="15" ht="20" customHeight="1">
      <x:c r="A15" s="12"/>
      <x:c r="B15" s="12"/>
      <x:c r="C15" s="12"/>
      <x:c r="D15" s="12"/>
      <x:c r="E15" s="13" t="str">
        <x:f>IF($C15="","",'学期情况一览表'!G15)</x:f>
      </x:c>
      <x:c r="F15" s="13" t="str">
        <x:f>IF($C15="","",'学期情况一览表'!K15)</x:f>
      </x:c>
      <x:c r="G15" s="13" t="str">
        <x:f>IF($C15="","",'学期情况一览表'!O15)</x:f>
      </x:c>
      <x:c r="H15" s="13" t="str">
        <x:f>IF($C15="","",'学期情况一览表'!S15)</x:f>
      </x:c>
      <x:c r="I15" s="13" t="str">
        <x:f>IF($C15="","",'学期情况一览表'!W15)</x:f>
      </x:c>
      <x:c r="J15" s="13" t="str">
        <x:f>IF($C15="","",E15+F15+G15+H15+I15)</x:f>
      </x:c>
      <x:c r="K15" s="12" t="str">
        <x:f>IF(J15="","",RANK(J15,$J$4:$J$43,0))</x:f>
      </x:c>
    </x:row>
    <x:row r="16" ht="20" customHeight="1">
      <x:c r="A16" s="12"/>
      <x:c r="B16" s="12"/>
      <x:c r="C16" s="12"/>
      <x:c r="D16" s="12"/>
      <x:c r="E16" s="13" t="str">
        <x:f>IF($C16="","",'学期情况一览表'!G16)</x:f>
      </x:c>
      <x:c r="F16" s="13" t="str">
        <x:f>IF($C16="","",'学期情况一览表'!K16)</x:f>
      </x:c>
      <x:c r="G16" s="13" t="str">
        <x:f>IF($C16="","",'学期情况一览表'!O16)</x:f>
      </x:c>
      <x:c r="H16" s="13" t="str">
        <x:f>IF($C16="","",'学期情况一览表'!S16)</x:f>
      </x:c>
      <x:c r="I16" s="13" t="str">
        <x:f>IF($C16="","",'学期情况一览表'!W16)</x:f>
      </x:c>
      <x:c r="J16" s="13" t="str">
        <x:f>IF($C16="","",E16+F16+G16+H16+I16)</x:f>
      </x:c>
      <x:c r="K16" s="12" t="str">
        <x:f>IF(J16="","",RANK(J16,$J$4:$J$43,0))</x:f>
      </x:c>
    </x:row>
    <x:row r="17" ht="20" customHeight="1">
      <x:c r="A17" s="12"/>
      <x:c r="B17" s="12"/>
      <x:c r="C17" s="12"/>
      <x:c r="D17" s="12"/>
      <x:c r="E17" s="13" t="str">
        <x:f>IF($C17="","",'学期情况一览表'!G17)</x:f>
      </x:c>
      <x:c r="F17" s="13" t="str">
        <x:f>IF($C17="","",'学期情况一览表'!K17)</x:f>
      </x:c>
      <x:c r="G17" s="13" t="str">
        <x:f>IF($C17="","",'学期情况一览表'!O17)</x:f>
      </x:c>
      <x:c r="H17" s="13" t="str">
        <x:f>IF($C17="","",'学期情况一览表'!S17)</x:f>
      </x:c>
      <x:c r="I17" s="13" t="str">
        <x:f>IF($C17="","",'学期情况一览表'!W17)</x:f>
      </x:c>
      <x:c r="J17" s="13" t="str">
        <x:f>IF($C17="","",E17+F17+G17+H17+I17)</x:f>
      </x:c>
      <x:c r="K17" s="12" t="str">
        <x:f>IF(J17="","",RANK(J17,$J$4:$J$43,0))</x:f>
      </x:c>
    </x:row>
    <x:row r="18" ht="20" customHeight="1">
      <x:c r="A18" s="12"/>
      <x:c r="B18" s="12"/>
      <x:c r="C18" s="12"/>
      <x:c r="D18" s="12"/>
      <x:c r="E18" s="13" t="str">
        <x:f>IF($C18="","",'学期情况一览表'!G18)</x:f>
      </x:c>
      <x:c r="F18" s="13" t="str">
        <x:f>IF($C18="","",'学期情况一览表'!K18)</x:f>
      </x:c>
      <x:c r="G18" s="13" t="str">
        <x:f>IF($C18="","",'学期情况一览表'!O18)</x:f>
      </x:c>
      <x:c r="H18" s="13" t="str">
        <x:f>IF($C18="","",'学期情况一览表'!S18)</x:f>
      </x:c>
      <x:c r="I18" s="13" t="str">
        <x:f>IF($C18="","",'学期情况一览表'!W18)</x:f>
      </x:c>
      <x:c r="J18" s="13" t="str">
        <x:f>IF($C18="","",E18+F18+G18+H18+I18)</x:f>
      </x:c>
      <x:c r="K18" s="12" t="str">
        <x:f>IF(J18="","",RANK(J18,$J$4:$J$43,0))</x:f>
      </x:c>
    </x:row>
    <x:row r="19" ht="20" customHeight="1">
      <x:c r="A19" s="12"/>
      <x:c r="B19" s="12"/>
      <x:c r="C19" s="12"/>
      <x:c r="D19" s="12"/>
      <x:c r="E19" s="13" t="str">
        <x:f>IF($C19="","",'学期情况一览表'!G19)</x:f>
      </x:c>
      <x:c r="F19" s="13" t="str">
        <x:f>IF($C19="","",'学期情况一览表'!K19)</x:f>
      </x:c>
      <x:c r="G19" s="13" t="str">
        <x:f>IF($C19="","",'学期情况一览表'!O19)</x:f>
      </x:c>
      <x:c r="H19" s="13" t="str">
        <x:f>IF($C19="","",'学期情况一览表'!S19)</x:f>
      </x:c>
      <x:c r="I19" s="13" t="str">
        <x:f>IF($C19="","",'学期情况一览表'!W19)</x:f>
      </x:c>
      <x:c r="J19" s="13" t="str">
        <x:f>IF($C19="","",E19+F19+G19+H19+I19)</x:f>
      </x:c>
      <x:c r="K19" s="12" t="str">
        <x:f>IF(J19="","",RANK(J19,$J$4:$J$43,0))</x:f>
      </x:c>
    </x:row>
    <x:row r="20" ht="20" customHeight="1">
      <x:c r="A20" s="12"/>
      <x:c r="B20" s="12"/>
      <x:c r="C20" s="12"/>
      <x:c r="D20" s="12"/>
      <x:c r="E20" s="13" t="str">
        <x:f>IF($C20="","",'学期情况一览表'!G20)</x:f>
      </x:c>
      <x:c r="F20" s="13" t="str">
        <x:f>IF($C20="","",'学期情况一览表'!K20)</x:f>
      </x:c>
      <x:c r="G20" s="13" t="str">
        <x:f>IF($C20="","",'学期情况一览表'!O20)</x:f>
      </x:c>
      <x:c r="H20" s="13" t="str">
        <x:f>IF($C20="","",'学期情况一览表'!S20)</x:f>
      </x:c>
      <x:c r="I20" s="13" t="str">
        <x:f>IF($C20="","",'学期情况一览表'!W20)</x:f>
      </x:c>
      <x:c r="J20" s="13" t="str">
        <x:f>IF($C20="","",E20+F20+G20+H20+I20)</x:f>
      </x:c>
      <x:c r="K20" s="12" t="str">
        <x:f>IF(J20="","",RANK(J20,$J$4:$J$43,0))</x:f>
      </x:c>
    </x:row>
    <x:row r="21" ht="20" customHeight="1">
      <x:c r="A21" s="12"/>
      <x:c r="B21" s="12"/>
      <x:c r="C21" s="12"/>
      <x:c r="D21" s="12"/>
      <x:c r="E21" s="13" t="str">
        <x:f>IF($C21="","",'学期情况一览表'!G21)</x:f>
      </x:c>
      <x:c r="F21" s="13" t="str">
        <x:f>IF($C21="","",'学期情况一览表'!K21)</x:f>
      </x:c>
      <x:c r="G21" s="13" t="str">
        <x:f>IF($C21="","",'学期情况一览表'!O21)</x:f>
      </x:c>
      <x:c r="H21" s="13" t="str">
        <x:f>IF($C21="","",'学期情况一览表'!S21)</x:f>
      </x:c>
      <x:c r="I21" s="13" t="str">
        <x:f>IF($C21="","",'学期情况一览表'!W21)</x:f>
      </x:c>
      <x:c r="J21" s="13" t="str">
        <x:f>IF($C21="","",E21+F21+G21+H21+I21)</x:f>
      </x:c>
      <x:c r="K21" s="12" t="str">
        <x:f>IF(J21="","",RANK(J21,$J$4:$J$43,0))</x:f>
      </x:c>
    </x:row>
    <x:row r="22" ht="20" customHeight="1">
      <x:c r="A22" s="12"/>
      <x:c r="B22" s="12"/>
      <x:c r="C22" s="12"/>
      <x:c r="D22" s="12"/>
      <x:c r="E22" s="13" t="str">
        <x:f>IF($C22="","",'学期情况一览表'!G22)</x:f>
      </x:c>
      <x:c r="F22" s="13" t="str">
        <x:f>IF($C22="","",'学期情况一览表'!K22)</x:f>
      </x:c>
      <x:c r="G22" s="13" t="str">
        <x:f>IF($C22="","",'学期情况一览表'!O22)</x:f>
      </x:c>
      <x:c r="H22" s="13" t="str">
        <x:f>IF($C22="","",'学期情况一览表'!S22)</x:f>
      </x:c>
      <x:c r="I22" s="13" t="str">
        <x:f>IF($C22="","",'学期情况一览表'!W22)</x:f>
      </x:c>
      <x:c r="J22" s="13" t="str">
        <x:f>IF($C22="","",E22+F22+G22+H22+I22)</x:f>
      </x:c>
      <x:c r="K22" s="12" t="str">
        <x:f>IF(J22="","",RANK(J22,$J$4:$J$43,0))</x:f>
      </x:c>
    </x:row>
    <x:row r="23" ht="20" customHeight="1">
      <x:c r="A23" s="12"/>
      <x:c r="B23" s="12"/>
      <x:c r="C23" s="12"/>
      <x:c r="D23" s="12"/>
      <x:c r="E23" s="13" t="str">
        <x:f>IF($C23="","",'学期情况一览表'!G23)</x:f>
      </x:c>
      <x:c r="F23" s="13" t="str">
        <x:f>IF($C23="","",'学期情况一览表'!K23)</x:f>
      </x:c>
      <x:c r="G23" s="13" t="str">
        <x:f>IF($C23="","",'学期情况一览表'!O23)</x:f>
      </x:c>
      <x:c r="H23" s="13" t="str">
        <x:f>IF($C23="","",'学期情况一览表'!S23)</x:f>
      </x:c>
      <x:c r="I23" s="13" t="str">
        <x:f>IF($C23="","",'学期情况一览表'!W23)</x:f>
      </x:c>
      <x:c r="J23" s="13" t="str">
        <x:f>IF($C23="","",E23+F23+G23+H23+I23)</x:f>
      </x:c>
      <x:c r="K23" s="12" t="str">
        <x:f>IF(J23="","",RANK(J23,$J$4:$J$43,0))</x:f>
      </x:c>
    </x:row>
    <x:row r="24" ht="20" customHeight="1">
      <x:c r="A24" s="12"/>
      <x:c r="B24" s="12"/>
      <x:c r="C24" s="12"/>
      <x:c r="D24" s="12"/>
      <x:c r="E24" s="13" t="str">
        <x:f>IF($C24="","",'学期情况一览表'!G24)</x:f>
      </x:c>
      <x:c r="F24" s="13" t="str">
        <x:f>IF($C24="","",'学期情况一览表'!K24)</x:f>
      </x:c>
      <x:c r="G24" s="13" t="str">
        <x:f>IF($C24="","",'学期情况一览表'!O24)</x:f>
      </x:c>
      <x:c r="H24" s="13" t="str">
        <x:f>IF($C24="","",'学期情况一览表'!S24)</x:f>
      </x:c>
      <x:c r="I24" s="13" t="str">
        <x:f>IF($C24="","",'学期情况一览表'!W24)</x:f>
      </x:c>
      <x:c r="J24" s="13" t="str">
        <x:f>IF($C24="","",E24+F24+G24+H24+I24)</x:f>
      </x:c>
      <x:c r="K24" s="12" t="str">
        <x:f>IF(J24="","",RANK(J24,$J$4:$J$43,0))</x:f>
      </x:c>
    </x:row>
    <x:row r="25" ht="20" customHeight="1">
      <x:c r="A25" s="12"/>
      <x:c r="B25" s="12"/>
      <x:c r="C25" s="12"/>
      <x:c r="D25" s="12"/>
      <x:c r="E25" s="13" t="str">
        <x:f>IF($C25="","",'学期情况一览表'!G25)</x:f>
      </x:c>
      <x:c r="F25" s="13" t="str">
        <x:f>IF($C25="","",'学期情况一览表'!K25)</x:f>
      </x:c>
      <x:c r="G25" s="13" t="str">
        <x:f>IF($C25="","",'学期情况一览表'!O25)</x:f>
      </x:c>
      <x:c r="H25" s="13" t="str">
        <x:f>IF($C25="","",'学期情况一览表'!S25)</x:f>
      </x:c>
      <x:c r="I25" s="13" t="str">
        <x:f>IF($C25="","",'学期情况一览表'!W25)</x:f>
      </x:c>
      <x:c r="J25" s="13" t="str">
        <x:f>IF($C25="","",E25+F25+G25+H25+I25)</x:f>
      </x:c>
      <x:c r="K25" s="12" t="str">
        <x:f>IF(J25="","",RANK(J25,$J$4:$J$43,0))</x:f>
      </x:c>
    </x:row>
    <x:row r="26" ht="20" customHeight="1">
      <x:c r="A26" s="12"/>
      <x:c r="B26" s="12"/>
      <x:c r="C26" s="12"/>
      <x:c r="D26" s="12"/>
      <x:c r="E26" s="13" t="str">
        <x:f>IF($C26="","",'学期情况一览表'!G26)</x:f>
      </x:c>
      <x:c r="F26" s="13" t="str">
        <x:f>IF($C26="","",'学期情况一览表'!K26)</x:f>
      </x:c>
      <x:c r="G26" s="13" t="str">
        <x:f>IF($C26="","",'学期情况一览表'!O26)</x:f>
      </x:c>
      <x:c r="H26" s="13" t="str">
        <x:f>IF($C26="","",'学期情况一览表'!S26)</x:f>
      </x:c>
      <x:c r="I26" s="13" t="str">
        <x:f>IF($C26="","",'学期情况一览表'!W26)</x:f>
      </x:c>
      <x:c r="J26" s="13" t="str">
        <x:f>IF($C26="","",E26+F26+G26+H26+I26)</x:f>
      </x:c>
      <x:c r="K26" s="12" t="str">
        <x:f>IF(J26="","",RANK(J26,$J$4:$J$43,0))</x:f>
      </x:c>
    </x:row>
    <x:row r="27" ht="20" customHeight="1">
      <x:c r="A27" s="12"/>
      <x:c r="B27" s="12"/>
      <x:c r="C27" s="12"/>
      <x:c r="D27" s="12"/>
      <x:c r="E27" s="13" t="str">
        <x:f>IF($C27="","",'学期情况一览表'!G27)</x:f>
      </x:c>
      <x:c r="F27" s="13" t="str">
        <x:f>IF($C27="","",'学期情况一览表'!K27)</x:f>
      </x:c>
      <x:c r="G27" s="13" t="str">
        <x:f>IF($C27="","",'学期情况一览表'!O27)</x:f>
      </x:c>
      <x:c r="H27" s="13" t="str">
        <x:f>IF($C27="","",'学期情况一览表'!S27)</x:f>
      </x:c>
      <x:c r="I27" s="13" t="str">
        <x:f>IF($C27="","",'学期情况一览表'!W27)</x:f>
      </x:c>
      <x:c r="J27" s="13" t="str">
        <x:f>IF($C27="","",E27+F27+G27+H27+I27)</x:f>
      </x:c>
      <x:c r="K27" s="12" t="str">
        <x:f>IF(J27="","",RANK(J27,$J$4:$J$43,0))</x:f>
      </x:c>
    </x:row>
    <x:row r="28" ht="20" customHeight="1">
      <x:c r="A28" s="12"/>
      <x:c r="B28" s="12"/>
      <x:c r="C28" s="12"/>
      <x:c r="D28" s="12"/>
      <x:c r="E28" s="13" t="str">
        <x:f>IF($C28="","",'学期情况一览表'!G28)</x:f>
      </x:c>
      <x:c r="F28" s="13" t="str">
        <x:f>IF($C28="","",'学期情况一览表'!K28)</x:f>
      </x:c>
      <x:c r="G28" s="13" t="str">
        <x:f>IF($C28="","",'学期情况一览表'!O28)</x:f>
      </x:c>
      <x:c r="H28" s="13" t="str">
        <x:f>IF($C28="","",'学期情况一览表'!S28)</x:f>
      </x:c>
      <x:c r="I28" s="13" t="str">
        <x:f>IF($C28="","",'学期情况一览表'!W28)</x:f>
      </x:c>
      <x:c r="J28" s="13" t="str">
        <x:f>IF($C28="","",E28+F28+G28+H28+I28)</x:f>
      </x:c>
      <x:c r="K28" s="12" t="str">
        <x:f>IF(J28="","",RANK(J28,$J$4:$J$43,0))</x:f>
      </x:c>
    </x:row>
    <x:row r="29" ht="20" customHeight="1">
      <x:c r="A29" s="12"/>
      <x:c r="B29" s="12"/>
      <x:c r="C29" s="12"/>
      <x:c r="D29" s="12"/>
      <x:c r="E29" s="13" t="str">
        <x:f>IF($C29="","",'学期情况一览表'!G29)</x:f>
      </x:c>
      <x:c r="F29" s="13" t="str">
        <x:f>IF($C29="","",'学期情况一览表'!K29)</x:f>
      </x:c>
      <x:c r="G29" s="13" t="str">
        <x:f>IF($C29="","",'学期情况一览表'!O29)</x:f>
      </x:c>
      <x:c r="H29" s="13" t="str">
        <x:f>IF($C29="","",'学期情况一览表'!S29)</x:f>
      </x:c>
      <x:c r="I29" s="13" t="str">
        <x:f>IF($C29="","",'学期情况一览表'!W29)</x:f>
      </x:c>
      <x:c r="J29" s="13" t="str">
        <x:f>IF($C29="","",E29+F29+G29+H29+I29)</x:f>
      </x:c>
      <x:c r="K29" s="12" t="str">
        <x:f>IF(J29="","",RANK(J29,$J$4:$J$43,0))</x:f>
      </x:c>
    </x:row>
    <x:row r="30" ht="20" customHeight="1">
      <x:c r="A30" s="12"/>
      <x:c r="B30" s="12"/>
      <x:c r="C30" s="12"/>
      <x:c r="D30" s="12"/>
      <x:c r="E30" s="13" t="str">
        <x:f>IF($C30="","",'学期情况一览表'!G30)</x:f>
      </x:c>
      <x:c r="F30" s="13" t="str">
        <x:f>IF($C30="","",'学期情况一览表'!K30)</x:f>
      </x:c>
      <x:c r="G30" s="13" t="str">
        <x:f>IF($C30="","",'学期情况一览表'!O30)</x:f>
      </x:c>
      <x:c r="H30" s="13" t="str">
        <x:f>IF($C30="","",'学期情况一览表'!S30)</x:f>
      </x:c>
      <x:c r="I30" s="13" t="str">
        <x:f>IF($C30="","",'学期情况一览表'!W30)</x:f>
      </x:c>
      <x:c r="J30" s="13" t="str">
        <x:f>IF($C30="","",E30+F30+G30+H30+I30)</x:f>
      </x:c>
      <x:c r="K30" s="12" t="str">
        <x:f>IF(J30="","",RANK(J30,$J$4:$J$43,0))</x:f>
      </x:c>
    </x:row>
    <x:row r="31" ht="20" customHeight="1">
      <x:c r="A31" s="12"/>
      <x:c r="B31" s="12"/>
      <x:c r="C31" s="12"/>
      <x:c r="D31" s="12"/>
      <x:c r="E31" s="13" t="str">
        <x:f>IF($C31="","",'学期情况一览表'!G31)</x:f>
      </x:c>
      <x:c r="F31" s="13" t="str">
        <x:f>IF($C31="","",'学期情况一览表'!K31)</x:f>
      </x:c>
      <x:c r="G31" s="13" t="str">
        <x:f>IF($C31="","",'学期情况一览表'!O31)</x:f>
      </x:c>
      <x:c r="H31" s="13" t="str">
        <x:f>IF($C31="","",'学期情况一览表'!S31)</x:f>
      </x:c>
      <x:c r="I31" s="13" t="str">
        <x:f>IF($C31="","",'学期情况一览表'!W31)</x:f>
      </x:c>
      <x:c r="J31" s="13" t="str">
        <x:f>IF($C31="","",E31+F31+G31+H31+I31)</x:f>
      </x:c>
      <x:c r="K31" s="12" t="str">
        <x:f>IF(J31="","",RANK(J31,$J$4:$J$43,0))</x:f>
      </x:c>
    </x:row>
    <x:row r="32" ht="20" customHeight="1">
      <x:c r="A32" s="12"/>
      <x:c r="B32" s="12"/>
      <x:c r="C32" s="12"/>
      <x:c r="D32" s="12"/>
      <x:c r="E32" s="13" t="str">
        <x:f>IF($C32="","",'学期情况一览表'!G32)</x:f>
      </x:c>
      <x:c r="F32" s="13" t="str">
        <x:f>IF($C32="","",'学期情况一览表'!K32)</x:f>
      </x:c>
      <x:c r="G32" s="13" t="str">
        <x:f>IF($C32="","",'学期情况一览表'!O32)</x:f>
      </x:c>
      <x:c r="H32" s="13" t="str">
        <x:f>IF($C32="","",'学期情况一览表'!S32)</x:f>
      </x:c>
      <x:c r="I32" s="13" t="str">
        <x:f>IF($C32="","",'学期情况一览表'!W32)</x:f>
      </x:c>
      <x:c r="J32" s="13" t="str">
        <x:f>IF($C32="","",E32+F32+G32+H32+I32)</x:f>
      </x:c>
      <x:c r="K32" s="12" t="str">
        <x:f>IF(J32="","",RANK(J32,$J$4:$J$43,0))</x:f>
      </x:c>
    </x:row>
    <x:row r="33" ht="20" customHeight="1">
      <x:c r="A33" s="12"/>
      <x:c r="B33" s="12"/>
      <x:c r="C33" s="12"/>
      <x:c r="D33" s="12"/>
      <x:c r="E33" s="13" t="str">
        <x:f>IF($C33="","",'学期情况一览表'!G33)</x:f>
      </x:c>
      <x:c r="F33" s="13" t="str">
        <x:f>IF($C33="","",'学期情况一览表'!K33)</x:f>
      </x:c>
      <x:c r="G33" s="13" t="str">
        <x:f>IF($C33="","",'学期情况一览表'!O33)</x:f>
      </x:c>
      <x:c r="H33" s="13" t="str">
        <x:f>IF($C33="","",'学期情况一览表'!S33)</x:f>
      </x:c>
      <x:c r="I33" s="13" t="str">
        <x:f>IF($C33="","",'学期情况一览表'!W33)</x:f>
      </x:c>
      <x:c r="J33" s="13" t="str">
        <x:f>IF($C33="","",E33+F33+G33+H33+I33)</x:f>
      </x:c>
      <x:c r="K33" s="12" t="str">
        <x:f>IF(J33="","",RANK(J33,$J$4:$J$43,0))</x:f>
      </x:c>
    </x:row>
    <x:row r="34" ht="20" customHeight="1">
      <x:c r="A34" s="12"/>
      <x:c r="B34" s="12"/>
      <x:c r="C34" s="12"/>
      <x:c r="D34" s="12"/>
      <x:c r="E34" s="13" t="str">
        <x:f>IF($C34="","",'学期情况一览表'!G34)</x:f>
      </x:c>
      <x:c r="F34" s="13" t="str">
        <x:f>IF($C34="","",'学期情况一览表'!K34)</x:f>
      </x:c>
      <x:c r="G34" s="13" t="str">
        <x:f>IF($C34="","",'学期情况一览表'!O34)</x:f>
      </x:c>
      <x:c r="H34" s="13" t="str">
        <x:f>IF($C34="","",'学期情况一览表'!S34)</x:f>
      </x:c>
      <x:c r="I34" s="13" t="str">
        <x:f>IF($C34="","",'学期情况一览表'!W34)</x:f>
      </x:c>
      <x:c r="J34" s="13" t="str">
        <x:f>IF($C34="","",E34+F34+G34+H34+I34)</x:f>
      </x:c>
      <x:c r="K34" s="12" t="str">
        <x:f>IF(J34="","",RANK(J34,$J$4:$J$43,0))</x:f>
      </x:c>
    </x:row>
    <x:row r="35" ht="20" customHeight="1">
      <x:c r="A35" s="12"/>
      <x:c r="B35" s="12"/>
      <x:c r="C35" s="12"/>
      <x:c r="D35" s="12"/>
      <x:c r="E35" s="13" t="str">
        <x:f>IF($C35="","",'学期情况一览表'!G35)</x:f>
      </x:c>
      <x:c r="F35" s="13" t="str">
        <x:f>IF($C35="","",'学期情况一览表'!K35)</x:f>
      </x:c>
      <x:c r="G35" s="13" t="str">
        <x:f>IF($C35="","",'学期情况一览表'!O35)</x:f>
      </x:c>
      <x:c r="H35" s="13" t="str">
        <x:f>IF($C35="","",'学期情况一览表'!S35)</x:f>
      </x:c>
      <x:c r="I35" s="13" t="str">
        <x:f>IF($C35="","",'学期情况一览表'!W35)</x:f>
      </x:c>
      <x:c r="J35" s="13" t="str">
        <x:f>IF($C35="","",E35+F35+G35+H35+I35)</x:f>
      </x:c>
      <x:c r="K35" s="12" t="str">
        <x:f>IF(J35="","",RANK(J35,$J$4:$J$43,0))</x:f>
      </x:c>
    </x:row>
    <x:row r="36" ht="20" customHeight="1">
      <x:c r="A36" s="12"/>
      <x:c r="B36" s="12"/>
      <x:c r="C36" s="12"/>
      <x:c r="D36" s="12"/>
      <x:c r="E36" s="13" t="str">
        <x:f>IF($C36="","",'学期情况一览表'!G36)</x:f>
      </x:c>
      <x:c r="F36" s="13" t="str">
        <x:f>IF($C36="","",'学期情况一览表'!K36)</x:f>
      </x:c>
      <x:c r="G36" s="13" t="str">
        <x:f>IF($C36="","",'学期情况一览表'!O36)</x:f>
      </x:c>
      <x:c r="H36" s="13" t="str">
        <x:f>IF($C36="","",'学期情况一览表'!S36)</x:f>
      </x:c>
      <x:c r="I36" s="13" t="str">
        <x:f>IF($C36="","",'学期情况一览表'!W36)</x:f>
      </x:c>
      <x:c r="J36" s="13" t="str">
        <x:f>IF($C36="","",E36+F36+G36+H36+I36)</x:f>
      </x:c>
      <x:c r="K36" s="12" t="str">
        <x:f>IF(J36="","",RANK(J36,$J$4:$J$43,0))</x:f>
      </x:c>
    </x:row>
    <x:row r="37" ht="20" customHeight="1">
      <x:c r="A37" s="12"/>
      <x:c r="B37" s="12"/>
      <x:c r="C37" s="12"/>
      <x:c r="D37" s="12"/>
      <x:c r="E37" s="13" t="str">
        <x:f>IF($C37="","",'学期情况一览表'!G37)</x:f>
      </x:c>
      <x:c r="F37" s="13" t="str">
        <x:f>IF($C37="","",'学期情况一览表'!K37)</x:f>
      </x:c>
      <x:c r="G37" s="13" t="str">
        <x:f>IF($C37="","",'学期情况一览表'!O37)</x:f>
      </x:c>
      <x:c r="H37" s="13" t="str">
        <x:f>IF($C37="","",'学期情况一览表'!S37)</x:f>
      </x:c>
      <x:c r="I37" s="13" t="str">
        <x:f>IF($C37="","",'学期情况一览表'!W37)</x:f>
      </x:c>
      <x:c r="J37" s="13" t="str">
        <x:f>IF($C37="","",E37+F37+G37+H37+I37)</x:f>
      </x:c>
      <x:c r="K37" s="12" t="str">
        <x:f>IF(J37="","",RANK(J37,$J$4:$J$43,0))</x:f>
      </x:c>
    </x:row>
    <x:row r="38" ht="20" customHeight="1">
      <x:c r="A38" s="12"/>
      <x:c r="B38" s="12"/>
      <x:c r="C38" s="12"/>
      <x:c r="D38" s="12"/>
      <x:c r="E38" s="13" t="str">
        <x:f>IF($C38="","",'学期情况一览表'!G38)</x:f>
      </x:c>
      <x:c r="F38" s="13" t="str">
        <x:f>IF($C38="","",'学期情况一览表'!K38)</x:f>
      </x:c>
      <x:c r="G38" s="13" t="str">
        <x:f>IF($C38="","",'学期情况一览表'!O38)</x:f>
      </x:c>
      <x:c r="H38" s="13" t="str">
        <x:f>IF($C38="","",'学期情况一览表'!S38)</x:f>
      </x:c>
      <x:c r="I38" s="13" t="str">
        <x:f>IF($C38="","",'学期情况一览表'!W38)</x:f>
      </x:c>
      <x:c r="J38" s="13" t="str">
        <x:f>IF($C38="","",E38+F38+G38+H38+I38)</x:f>
      </x:c>
      <x:c r="K38" s="12" t="str">
        <x:f>IF(J38="","",RANK(J38,$J$4:$J$43,0))</x:f>
      </x:c>
    </x:row>
    <x:row r="39" ht="20" customHeight="1">
      <x:c r="A39" s="12"/>
      <x:c r="B39" s="12"/>
      <x:c r="C39" s="12"/>
      <x:c r="D39" s="12"/>
      <x:c r="E39" s="13" t="str">
        <x:f>IF($C39="","",'学期情况一览表'!G39)</x:f>
      </x:c>
      <x:c r="F39" s="13" t="str">
        <x:f>IF($C39="","",'学期情况一览表'!K39)</x:f>
      </x:c>
      <x:c r="G39" s="13" t="str">
        <x:f>IF($C39="","",'学期情况一览表'!O39)</x:f>
      </x:c>
      <x:c r="H39" s="13" t="str">
        <x:f>IF($C39="","",'学期情况一览表'!S39)</x:f>
      </x:c>
      <x:c r="I39" s="13" t="str">
        <x:f>IF($C39="","",'学期情况一览表'!W39)</x:f>
      </x:c>
      <x:c r="J39" s="13" t="str">
        <x:f>IF($C39="","",E39+F39+G39+H39+I39)</x:f>
      </x:c>
      <x:c r="K39" s="12" t="str">
        <x:f>IF(J39="","",RANK(J39,$J$4:$J$43,0))</x:f>
      </x:c>
    </x:row>
    <x:row r="40" ht="20" customHeight="1">
      <x:c r="A40" s="12"/>
      <x:c r="B40" s="12"/>
      <x:c r="C40" s="12"/>
      <x:c r="D40" s="12"/>
      <x:c r="E40" s="13" t="str">
        <x:f>IF($C40="","",'学期情况一览表'!G40)</x:f>
      </x:c>
      <x:c r="F40" s="13" t="str">
        <x:f>IF($C40="","",'学期情况一览表'!K40)</x:f>
      </x:c>
      <x:c r="G40" s="13" t="str">
        <x:f>IF($C40="","",'学期情况一览表'!O40)</x:f>
      </x:c>
      <x:c r="H40" s="13" t="str">
        <x:f>IF($C40="","",'学期情况一览表'!S40)</x:f>
      </x:c>
      <x:c r="I40" s="13" t="str">
        <x:f>IF($C40="","",'学期情况一览表'!W40)</x:f>
      </x:c>
      <x:c r="J40" s="13" t="str">
        <x:f>IF($C40="","",E40+F40+G40+H40+I40)</x:f>
      </x:c>
      <x:c r="K40" s="12" t="str">
        <x:f>IF(J40="","",RANK(J40,$J$4:$J$43,0))</x:f>
      </x:c>
    </x:row>
    <x:row r="41" ht="20" customHeight="1">
      <x:c r="A41" s="12"/>
      <x:c r="B41" s="12"/>
      <x:c r="C41" s="12"/>
      <x:c r="D41" s="12"/>
      <x:c r="E41" s="13" t="str">
        <x:f>IF($C41="","",'学期情况一览表'!G41)</x:f>
      </x:c>
      <x:c r="F41" s="13" t="str">
        <x:f>IF($C41="","",'学期情况一览表'!K41)</x:f>
      </x:c>
      <x:c r="G41" s="13" t="str">
        <x:f>IF($C41="","",'学期情况一览表'!O41)</x:f>
      </x:c>
      <x:c r="H41" s="13" t="str">
        <x:f>IF($C41="","",'学期情况一览表'!S41)</x:f>
      </x:c>
      <x:c r="I41" s="13" t="str">
        <x:f>IF($C41="","",'学期情况一览表'!W41)</x:f>
      </x:c>
      <x:c r="J41" s="13" t="str">
        <x:f>IF($C41="","",E41+F41+G41+H41+I41)</x:f>
      </x:c>
      <x:c r="K41" s="12" t="str">
        <x:f>IF(J41="","",RANK(J41,$J$4:$J$43,0))</x:f>
      </x:c>
    </x:row>
    <x:row r="42" ht="20" customHeight="1">
      <x:c r="A42" s="12"/>
      <x:c r="B42" s="12"/>
      <x:c r="C42" s="12"/>
      <x:c r="D42" s="12"/>
      <x:c r="E42" s="13" t="str">
        <x:f>IF($C42="","",'学期情况一览表'!G42)</x:f>
      </x:c>
      <x:c r="F42" s="13" t="str">
        <x:f>IF($C42="","",'学期情况一览表'!K42)</x:f>
      </x:c>
      <x:c r="G42" s="13" t="str">
        <x:f>IF($C42="","",'学期情况一览表'!O42)</x:f>
      </x:c>
      <x:c r="H42" s="13" t="str">
        <x:f>IF($C42="","",'学期情况一览表'!S42)</x:f>
      </x:c>
      <x:c r="I42" s="13" t="str">
        <x:f>IF($C42="","",'学期情况一览表'!W42)</x:f>
      </x:c>
      <x:c r="J42" s="13" t="str">
        <x:f>IF($C42="","",E42+F42+G42+H42+I42)</x:f>
      </x:c>
      <x:c r="K42" s="12" t="str">
        <x:f>IF(J42="","",RANK(J42,$J$4:$J$43,0))</x:f>
      </x:c>
    </x:row>
    <x:row r="43" ht="20" customHeight="1">
      <x:c r="A43" s="12"/>
      <x:c r="B43" s="12"/>
      <x:c r="C43" s="12"/>
      <x:c r="D43" s="12"/>
      <x:c r="E43" s="13" t="str">
        <x:f>IF($C43="","",'学期情况一览表'!G43)</x:f>
      </x:c>
      <x:c r="F43" s="13" t="str">
        <x:f>IF($C43="","",'学期情况一览表'!K43)</x:f>
      </x:c>
      <x:c r="G43" s="13" t="str">
        <x:f>IF($C43="","",'学期情况一览表'!O43)</x:f>
      </x:c>
      <x:c r="H43" s="13" t="str">
        <x:f>IF($C43="","",'学期情况一览表'!S43)</x:f>
      </x:c>
      <x:c r="I43" s="13" t="str">
        <x:f>IF($C43="","",'学期情况一览表'!W43)</x:f>
      </x:c>
      <x:c r="J43" s="13" t="str">
        <x:f>IF($C43="","",E43+F43+G43+H43+I43)</x:f>
      </x:c>
      <x:c r="K43" s="12" t="str">
        <x:f>IF(J43="","",RANK(J43,$J$4:$J$43,0))</x:f>
      </x:c>
    </x:row>
  </x:sheetData>
  <x:mergeCells>
    <x:mergeCell ref="A1:K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14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</x:cols>
  <x:sheetData>
    <x:row r="1" ht="25" customHeight="1">
      <x:c r="A1" s="4" t="str">
        <x:v>2025-2026学年第一学期 综合素质测评情况一览表（空白模板）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</x:row>
    <x:row r="3" ht="30" customHeight="1">
      <x:c r="A3" s="11" t="str">
        <x:v>序号</x:v>
      </x:c>
      <x:c r="B3" s="11" t="str">
        <x:v>学号</x:v>
      </x:c>
      <x:c r="C3" s="11" t="str">
        <x:v>姓名</x:v>
      </x:c>
      <x:c r="D3" s="14" t="str">
        <x:v>德育基础分</x:v>
      </x:c>
      <x:c r="E3" s="14" t="str">
        <x:v>德育加分</x:v>
      </x:c>
      <x:c r="F3" s="14" t="str">
        <x:v>德育扣分</x:v>
      </x:c>
      <x:c r="G3" s="14" t="str">
        <x:v>德育得分</x:v>
      </x:c>
      <x:c r="H3" s="15" t="str">
        <x:v>智育基础分</x:v>
      </x:c>
      <x:c r="I3" s="15" t="str">
        <x:v>智育加分</x:v>
      </x:c>
      <x:c r="J3" s="15" t="str">
        <x:v>智育扣分</x:v>
      </x:c>
      <x:c r="K3" s="15" t="str">
        <x:v>智育得分</x:v>
      </x:c>
      <x:c r="L3" s="16" t="str">
        <x:v>体育基础分</x:v>
      </x:c>
      <x:c r="M3" s="16" t="str">
        <x:v>体育加分</x:v>
      </x:c>
      <x:c r="N3" s="16" t="str">
        <x:v>体育扣分</x:v>
      </x:c>
      <x:c r="O3" s="16" t="str">
        <x:v>体育得分</x:v>
      </x:c>
      <x:c r="P3" s="17" t="str">
        <x:v>美育基础分</x:v>
      </x:c>
      <x:c r="Q3" s="17" t="str">
        <x:v>美育加分</x:v>
      </x:c>
      <x:c r="R3" s="17" t="str">
        <x:v>美育扣分</x:v>
      </x:c>
      <x:c r="S3" s="17" t="str">
        <x:v>美育得分</x:v>
      </x:c>
      <x:c r="T3" s="18" t="str">
        <x:v>劳育基础分</x:v>
      </x:c>
      <x:c r="U3" s="18" t="str">
        <x:v>劳育加分</x:v>
      </x:c>
      <x:c r="V3" s="18" t="str">
        <x:v>劳育扣分</x:v>
      </x:c>
      <x:c r="W3" s="18" t="str">
        <x:v>劳育得分</x:v>
      </x:c>
      <x:c r="X3" s="11" t="str">
        <x:v>总分</x:v>
      </x:c>
      <x:c r="Y3" s="11" t="str">
        <x:v>排名</x:v>
      </x:c>
    </x:row>
    <x:row r="4" ht="20" customHeight="1">
      <x:c r="A4" s="25"/>
      <x:c r="B4" s="25"/>
      <x:c r="C4" s="25"/>
      <x:c r="D4" s="28"/>
      <x:c r="E4" s="28"/>
      <x:c r="F4" s="28"/>
      <x:c r="G4" s="28" t="str">
        <x:f>IF(COUNTA($B4:$C4)=0,"",D4+E4-F4)</x:f>
      </x:c>
      <x:c r="H4" s="28"/>
      <x:c r="I4" s="28"/>
      <x:c r="J4" s="28"/>
      <x:c r="K4" s="28" t="str">
        <x:f>IF(COUNTA($B4:$C4)=0,"",H4+I4-J4)</x:f>
      </x:c>
      <x:c r="L4" s="28"/>
      <x:c r="M4" s="28"/>
      <x:c r="N4" s="28"/>
      <x:c r="O4" s="28" t="str">
        <x:f>IF(COUNTA($B4:$C4)=0,"",L4+M4-N4)</x:f>
      </x:c>
      <x:c r="P4" s="28"/>
      <x:c r="Q4" s="28"/>
      <x:c r="R4" s="28"/>
      <x:c r="S4" s="28" t="str">
        <x:f>IF(COUNTA($B4:$C4)=0,"",P4+Q4-R4)</x:f>
      </x:c>
      <x:c r="T4" s="28"/>
      <x:c r="U4" s="28"/>
      <x:c r="V4" s="28"/>
      <x:c r="W4" s="28" t="str">
        <x:f>IF(COUNTA($B4:$C4)=0,"",T4+U4-V4)</x:f>
      </x:c>
      <x:c r="X4" s="29" t="str">
        <x:f>IF(COUNTA($B4:$C4)=0,"",G4+K4+O4+S4+W4)</x:f>
      </x:c>
      <x:c r="Y4" s="27" t="str">
        <x:f>IF(X4="","",RANK(X4,$X$4:$X$43,0))</x:f>
      </x:c>
    </x:row>
    <x:row r="5" ht="20" customHeight="1">
      <x:c r="A5" s="25"/>
      <x:c r="B5" s="25"/>
      <x:c r="C5" s="25"/>
      <x:c r="D5" s="28"/>
      <x:c r="E5" s="28"/>
      <x:c r="F5" s="28"/>
      <x:c r="G5" s="28" t="str">
        <x:f>IF(COUNTA($B5:$C5)=0,"",D5+E5-F5)</x:f>
      </x:c>
      <x:c r="H5" s="28"/>
      <x:c r="I5" s="28"/>
      <x:c r="J5" s="28"/>
      <x:c r="K5" s="28" t="str">
        <x:f>IF(COUNTA($B5:$C5)=0,"",H5+I5-J5)</x:f>
      </x:c>
      <x:c r="L5" s="28"/>
      <x:c r="M5" s="28"/>
      <x:c r="N5" s="28"/>
      <x:c r="O5" s="28" t="str">
        <x:f>IF(COUNTA($B5:$C5)=0,"",L5+M5-N5)</x:f>
      </x:c>
      <x:c r="P5" s="28"/>
      <x:c r="Q5" s="28"/>
      <x:c r="R5" s="28"/>
      <x:c r="S5" s="28" t="str">
        <x:f>IF(COUNTA($B5:$C5)=0,"",P5+Q5-R5)</x:f>
      </x:c>
      <x:c r="T5" s="28"/>
      <x:c r="U5" s="28"/>
      <x:c r="V5" s="28"/>
      <x:c r="W5" s="28" t="str">
        <x:f>IF(COUNTA($B5:$C5)=0,"",T5+U5-V5)</x:f>
      </x:c>
      <x:c r="X5" s="29" t="str">
        <x:f>IF(COUNTA($B5:$C5)=0,"",G5+K5+O5+S5+W5)</x:f>
      </x:c>
      <x:c r="Y5" s="27" t="str">
        <x:f>IF(X5="","",RANK(X5,$X$4:$X$43,0))</x:f>
      </x:c>
    </x:row>
    <x:row r="6" ht="20" customHeight="1">
      <x:c r="A6" s="25"/>
      <x:c r="B6" s="25"/>
      <x:c r="C6" s="25"/>
      <x:c r="D6" s="28"/>
      <x:c r="E6" s="28"/>
      <x:c r="F6" s="28"/>
      <x:c r="G6" s="28" t="str">
        <x:f>IF(COUNTA($B6:$C6)=0,"",D6+E6-F6)</x:f>
      </x:c>
      <x:c r="H6" s="28"/>
      <x:c r="I6" s="28"/>
      <x:c r="J6" s="28"/>
      <x:c r="K6" s="28" t="str">
        <x:f>IF(COUNTA($B6:$C6)=0,"",H6+I6-J6)</x:f>
      </x:c>
      <x:c r="L6" s="28"/>
      <x:c r="M6" s="28"/>
      <x:c r="N6" s="28"/>
      <x:c r="O6" s="28" t="str">
        <x:f>IF(COUNTA($B6:$C6)=0,"",L6+M6-N6)</x:f>
      </x:c>
      <x:c r="P6" s="28"/>
      <x:c r="Q6" s="28"/>
      <x:c r="R6" s="28"/>
      <x:c r="S6" s="28" t="str">
        <x:f>IF(COUNTA($B6:$C6)=0,"",P6+Q6-R6)</x:f>
      </x:c>
      <x:c r="T6" s="28"/>
      <x:c r="U6" s="28"/>
      <x:c r="V6" s="28"/>
      <x:c r="W6" s="28" t="str">
        <x:f>IF(COUNTA($B6:$C6)=0,"",T6+U6-V6)</x:f>
      </x:c>
      <x:c r="X6" s="29" t="str">
        <x:f>IF(COUNTA($B6:$C6)=0,"",G6+K6+O6+S6+W6)</x:f>
      </x:c>
      <x:c r="Y6" s="27" t="str">
        <x:f>IF(X6="","",RANK(X6,$X$4:$X$43,0))</x:f>
      </x:c>
    </x:row>
    <x:row r="7" ht="20" customHeight="1">
      <x:c r="A7" s="25"/>
      <x:c r="B7" s="25"/>
      <x:c r="C7" s="25"/>
      <x:c r="D7" s="28"/>
      <x:c r="E7" s="28"/>
      <x:c r="F7" s="28"/>
      <x:c r="G7" s="28" t="str">
        <x:f>IF(COUNTA($B7:$C7)=0,"",D7+E7-F7)</x:f>
      </x:c>
      <x:c r="H7" s="28"/>
      <x:c r="I7" s="28"/>
      <x:c r="J7" s="28"/>
      <x:c r="K7" s="28" t="str">
        <x:f>IF(COUNTA($B7:$C7)=0,"",H7+I7-J7)</x:f>
      </x:c>
      <x:c r="L7" s="28"/>
      <x:c r="M7" s="28"/>
      <x:c r="N7" s="28"/>
      <x:c r="O7" s="28" t="str">
        <x:f>IF(COUNTA($B7:$C7)=0,"",L7+M7-N7)</x:f>
      </x:c>
      <x:c r="P7" s="28"/>
      <x:c r="Q7" s="28"/>
      <x:c r="R7" s="28"/>
      <x:c r="S7" s="28" t="str">
        <x:f>IF(COUNTA($B7:$C7)=0,"",P7+Q7-R7)</x:f>
      </x:c>
      <x:c r="T7" s="28"/>
      <x:c r="U7" s="28"/>
      <x:c r="V7" s="28"/>
      <x:c r="W7" s="28" t="str">
        <x:f>IF(COUNTA($B7:$C7)=0,"",T7+U7-V7)</x:f>
      </x:c>
      <x:c r="X7" s="29" t="str">
        <x:f>IF(COUNTA($B7:$C7)=0,"",G7+K7+O7+S7+W7)</x:f>
      </x:c>
      <x:c r="Y7" s="27" t="str">
        <x:f>IF(X7="","",RANK(X7,$X$4:$X$43,0))</x:f>
      </x:c>
    </x:row>
    <x:row r="8" ht="20" customHeight="1">
      <x:c r="A8" s="25"/>
      <x:c r="B8" s="25"/>
      <x:c r="C8" s="25"/>
      <x:c r="D8" s="28"/>
      <x:c r="E8" s="28"/>
      <x:c r="F8" s="28"/>
      <x:c r="G8" s="28" t="str">
        <x:f>IF(COUNTA($B8:$C8)=0,"",D8+E8-F8)</x:f>
      </x:c>
      <x:c r="H8" s="28"/>
      <x:c r="I8" s="28"/>
      <x:c r="J8" s="28"/>
      <x:c r="K8" s="28" t="str">
        <x:f>IF(COUNTA($B8:$C8)=0,"",H8+I8-J8)</x:f>
      </x:c>
      <x:c r="L8" s="28"/>
      <x:c r="M8" s="28"/>
      <x:c r="N8" s="28"/>
      <x:c r="O8" s="28" t="str">
        <x:f>IF(COUNTA($B8:$C8)=0,"",L8+M8-N8)</x:f>
      </x:c>
      <x:c r="P8" s="28"/>
      <x:c r="Q8" s="28"/>
      <x:c r="R8" s="28"/>
      <x:c r="S8" s="28" t="str">
        <x:f>IF(COUNTA($B8:$C8)=0,"",P8+Q8-R8)</x:f>
      </x:c>
      <x:c r="T8" s="28"/>
      <x:c r="U8" s="28"/>
      <x:c r="V8" s="28"/>
      <x:c r="W8" s="28" t="str">
        <x:f>IF(COUNTA($B8:$C8)=0,"",T8+U8-V8)</x:f>
      </x:c>
      <x:c r="X8" s="29" t="str">
        <x:f>IF(COUNTA($B8:$C8)=0,"",G8+K8+O8+S8+W8)</x:f>
      </x:c>
      <x:c r="Y8" s="27" t="str">
        <x:f>IF(X8="","",RANK(X8,$X$4:$X$43,0))</x:f>
      </x:c>
    </x:row>
    <x:row r="9" ht="20" customHeight="1">
      <x:c r="A9" s="25"/>
      <x:c r="B9" s="25"/>
      <x:c r="C9" s="25"/>
      <x:c r="D9" s="28"/>
      <x:c r="E9" s="28"/>
      <x:c r="F9" s="28"/>
      <x:c r="G9" s="28" t="str">
        <x:f>IF(COUNTA($B9:$C9)=0,"",D9+E9-F9)</x:f>
      </x:c>
      <x:c r="H9" s="28"/>
      <x:c r="I9" s="28"/>
      <x:c r="J9" s="28"/>
      <x:c r="K9" s="28" t="str">
        <x:f>IF(COUNTA($B9:$C9)=0,"",H9+I9-J9)</x:f>
      </x:c>
      <x:c r="L9" s="28"/>
      <x:c r="M9" s="28"/>
      <x:c r="N9" s="28"/>
      <x:c r="O9" s="28" t="str">
        <x:f>IF(COUNTA($B9:$C9)=0,"",L9+M9-N9)</x:f>
      </x:c>
      <x:c r="P9" s="28"/>
      <x:c r="Q9" s="28"/>
      <x:c r="R9" s="28"/>
      <x:c r="S9" s="28" t="str">
        <x:f>IF(COUNTA($B9:$C9)=0,"",P9+Q9-R9)</x:f>
      </x:c>
      <x:c r="T9" s="28"/>
      <x:c r="U9" s="28"/>
      <x:c r="V9" s="28"/>
      <x:c r="W9" s="28" t="str">
        <x:f>IF(COUNTA($B9:$C9)=0,"",T9+U9-V9)</x:f>
      </x:c>
      <x:c r="X9" s="29" t="str">
        <x:f>IF(COUNTA($B9:$C9)=0,"",G9+K9+O9+S9+W9)</x:f>
      </x:c>
      <x:c r="Y9" s="27" t="str">
        <x:f>IF(X9="","",RANK(X9,$X$4:$X$43,0))</x:f>
      </x:c>
    </x:row>
    <x:row r="10" ht="20" customHeight="1">
      <x:c r="A10" s="25"/>
      <x:c r="B10" s="25"/>
      <x:c r="C10" s="25"/>
      <x:c r="D10" s="28"/>
      <x:c r="E10" s="28"/>
      <x:c r="F10" s="28"/>
      <x:c r="G10" s="28" t="str">
        <x:f>IF(COUNTA($B10:$C10)=0,"",D10+E10-F10)</x:f>
      </x:c>
      <x:c r="H10" s="28"/>
      <x:c r="I10" s="28"/>
      <x:c r="J10" s="28"/>
      <x:c r="K10" s="28" t="str">
        <x:f>IF(COUNTA($B10:$C10)=0,"",H10+I10-J10)</x:f>
      </x:c>
      <x:c r="L10" s="28"/>
      <x:c r="M10" s="28"/>
      <x:c r="N10" s="28"/>
      <x:c r="O10" s="28" t="str">
        <x:f>IF(COUNTA($B10:$C10)=0,"",L10+M10-N10)</x:f>
      </x:c>
      <x:c r="P10" s="28"/>
      <x:c r="Q10" s="28"/>
      <x:c r="R10" s="28"/>
      <x:c r="S10" s="28" t="str">
        <x:f>IF(COUNTA($B10:$C10)=0,"",P10+Q10-R10)</x:f>
      </x:c>
      <x:c r="T10" s="28"/>
      <x:c r="U10" s="28"/>
      <x:c r="V10" s="28"/>
      <x:c r="W10" s="28" t="str">
        <x:f>IF(COUNTA($B10:$C10)=0,"",T10+U10-V10)</x:f>
      </x:c>
      <x:c r="X10" s="29" t="str">
        <x:f>IF(COUNTA($B10:$C10)=0,"",G10+K10+O10+S10+W10)</x:f>
      </x:c>
      <x:c r="Y10" s="27" t="str">
        <x:f>IF(X10="","",RANK(X10,$X$4:$X$43,0))</x:f>
      </x:c>
    </x:row>
    <x:row r="11" ht="20" customHeight="1">
      <x:c r="A11" s="25"/>
      <x:c r="B11" s="25"/>
      <x:c r="C11" s="25"/>
      <x:c r="D11" s="28"/>
      <x:c r="E11" s="28"/>
      <x:c r="F11" s="28"/>
      <x:c r="G11" s="28" t="str">
        <x:f>IF(COUNTA($B11:$C11)=0,"",D11+E11-F11)</x:f>
      </x:c>
      <x:c r="H11" s="28"/>
      <x:c r="I11" s="28"/>
      <x:c r="J11" s="28"/>
      <x:c r="K11" s="28" t="str">
        <x:f>IF(COUNTA($B11:$C11)=0,"",H11+I11-J11)</x:f>
      </x:c>
      <x:c r="L11" s="28"/>
      <x:c r="M11" s="28"/>
      <x:c r="N11" s="28"/>
      <x:c r="O11" s="28" t="str">
        <x:f>IF(COUNTA($B11:$C11)=0,"",L11+M11-N11)</x:f>
      </x:c>
      <x:c r="P11" s="28"/>
      <x:c r="Q11" s="28"/>
      <x:c r="R11" s="28"/>
      <x:c r="S11" s="28" t="str">
        <x:f>IF(COUNTA($B11:$C11)=0,"",P11+Q11-R11)</x:f>
      </x:c>
      <x:c r="T11" s="28"/>
      <x:c r="U11" s="28"/>
      <x:c r="V11" s="28"/>
      <x:c r="W11" s="28" t="str">
        <x:f>IF(COUNTA($B11:$C11)=0,"",T11+U11-V11)</x:f>
      </x:c>
      <x:c r="X11" s="29" t="str">
        <x:f>IF(COUNTA($B11:$C11)=0,"",G11+K11+O11+S11+W11)</x:f>
      </x:c>
      <x:c r="Y11" s="27" t="str">
        <x:f>IF(X11="","",RANK(X11,$X$4:$X$43,0))</x:f>
      </x:c>
    </x:row>
    <x:row r="12" ht="20" customHeight="1">
      <x:c r="A12" s="25"/>
      <x:c r="B12" s="25"/>
      <x:c r="C12" s="25"/>
      <x:c r="D12" s="28"/>
      <x:c r="E12" s="28"/>
      <x:c r="F12" s="28"/>
      <x:c r="G12" s="28" t="str">
        <x:f>IF(COUNTA($B12:$C12)=0,"",D12+E12-F12)</x:f>
      </x:c>
      <x:c r="H12" s="28"/>
      <x:c r="I12" s="28"/>
      <x:c r="J12" s="28"/>
      <x:c r="K12" s="28" t="str">
        <x:f>IF(COUNTA($B12:$C12)=0,"",H12+I12-J12)</x:f>
      </x:c>
      <x:c r="L12" s="28"/>
      <x:c r="M12" s="28"/>
      <x:c r="N12" s="28"/>
      <x:c r="O12" s="28" t="str">
        <x:f>IF(COUNTA($B12:$C12)=0,"",L12+M12-N12)</x:f>
      </x:c>
      <x:c r="P12" s="28"/>
      <x:c r="Q12" s="28"/>
      <x:c r="R12" s="28"/>
      <x:c r="S12" s="28" t="str">
        <x:f>IF(COUNTA($B12:$C12)=0,"",P12+Q12-R12)</x:f>
      </x:c>
      <x:c r="T12" s="28"/>
      <x:c r="U12" s="28"/>
      <x:c r="V12" s="28"/>
      <x:c r="W12" s="28" t="str">
        <x:f>IF(COUNTA($B12:$C12)=0,"",T12+U12-V12)</x:f>
      </x:c>
      <x:c r="X12" s="29" t="str">
        <x:f>IF(COUNTA($B12:$C12)=0,"",G12+K12+O12+S12+W12)</x:f>
      </x:c>
      <x:c r="Y12" s="27" t="str">
        <x:f>IF(X12="","",RANK(X12,$X$4:$X$43,0))</x:f>
      </x:c>
    </x:row>
    <x:row r="13" ht="20" customHeight="1">
      <x:c r="A13" s="25"/>
      <x:c r="B13" s="25"/>
      <x:c r="C13" s="25"/>
      <x:c r="D13" s="28"/>
      <x:c r="E13" s="28"/>
      <x:c r="F13" s="28"/>
      <x:c r="G13" s="28" t="str">
        <x:f>IF(COUNTA($B13:$C13)=0,"",D13+E13-F13)</x:f>
      </x:c>
      <x:c r="H13" s="28"/>
      <x:c r="I13" s="28"/>
      <x:c r="J13" s="28"/>
      <x:c r="K13" s="28" t="str">
        <x:f>IF(COUNTA($B13:$C13)=0,"",H13+I13-J13)</x:f>
      </x:c>
      <x:c r="L13" s="28"/>
      <x:c r="M13" s="28"/>
      <x:c r="N13" s="28"/>
      <x:c r="O13" s="28" t="str">
        <x:f>IF(COUNTA($B13:$C13)=0,"",L13+M13-N13)</x:f>
      </x:c>
      <x:c r="P13" s="28"/>
      <x:c r="Q13" s="28"/>
      <x:c r="R13" s="28"/>
      <x:c r="S13" s="28" t="str">
        <x:f>IF(COUNTA($B13:$C13)=0,"",P13+Q13-R13)</x:f>
      </x:c>
      <x:c r="T13" s="28"/>
      <x:c r="U13" s="28"/>
      <x:c r="V13" s="28"/>
      <x:c r="W13" s="28" t="str">
        <x:f>IF(COUNTA($B13:$C13)=0,"",T13+U13-V13)</x:f>
      </x:c>
      <x:c r="X13" s="29" t="str">
        <x:f>IF(COUNTA($B13:$C13)=0,"",G13+K13+O13+S13+W13)</x:f>
      </x:c>
      <x:c r="Y13" s="27" t="str">
        <x:f>IF(X13="","",RANK(X13,$X$4:$X$43,0))</x:f>
      </x:c>
    </x:row>
    <x:row r="14" ht="20" customHeight="1">
      <x:c r="A14" s="25"/>
      <x:c r="B14" s="25"/>
      <x:c r="C14" s="25"/>
      <x:c r="D14" s="28"/>
      <x:c r="E14" s="28"/>
      <x:c r="F14" s="28"/>
      <x:c r="G14" s="28" t="str">
        <x:f>IF(COUNTA($B14:$C14)=0,"",D14+E14-F14)</x:f>
      </x:c>
      <x:c r="H14" s="28"/>
      <x:c r="I14" s="28"/>
      <x:c r="J14" s="28"/>
      <x:c r="K14" s="28" t="str">
        <x:f>IF(COUNTA($B14:$C14)=0,"",H14+I14-J14)</x:f>
      </x:c>
      <x:c r="L14" s="28"/>
      <x:c r="M14" s="28"/>
      <x:c r="N14" s="28"/>
      <x:c r="O14" s="28" t="str">
        <x:f>IF(COUNTA($B14:$C14)=0,"",L14+M14-N14)</x:f>
      </x:c>
      <x:c r="P14" s="28"/>
      <x:c r="Q14" s="28"/>
      <x:c r="R14" s="28"/>
      <x:c r="S14" s="28" t="str">
        <x:f>IF(COUNTA($B14:$C14)=0,"",P14+Q14-R14)</x:f>
      </x:c>
      <x:c r="T14" s="28"/>
      <x:c r="U14" s="28"/>
      <x:c r="V14" s="28"/>
      <x:c r="W14" s="28" t="str">
        <x:f>IF(COUNTA($B14:$C14)=0,"",T14+U14-V14)</x:f>
      </x:c>
      <x:c r="X14" s="29" t="str">
        <x:f>IF(COUNTA($B14:$C14)=0,"",G14+K14+O14+S14+W14)</x:f>
      </x:c>
      <x:c r="Y14" s="27" t="str">
        <x:f>IF(X14="","",RANK(X14,$X$4:$X$43,0))</x:f>
      </x:c>
    </x:row>
    <x:row r="15" ht="20" customHeight="1">
      <x:c r="A15" s="25"/>
      <x:c r="B15" s="25"/>
      <x:c r="C15" s="25"/>
      <x:c r="D15" s="28"/>
      <x:c r="E15" s="28"/>
      <x:c r="F15" s="28"/>
      <x:c r="G15" s="28" t="str">
        <x:f>IF(COUNTA($B15:$C15)=0,"",D15+E15-F15)</x:f>
      </x:c>
      <x:c r="H15" s="28"/>
      <x:c r="I15" s="28"/>
      <x:c r="J15" s="28"/>
      <x:c r="K15" s="28" t="str">
        <x:f>IF(COUNTA($B15:$C15)=0,"",H15+I15-J15)</x:f>
      </x:c>
      <x:c r="L15" s="28"/>
      <x:c r="M15" s="28"/>
      <x:c r="N15" s="28"/>
      <x:c r="O15" s="28" t="str">
        <x:f>IF(COUNTA($B15:$C15)=0,"",L15+M15-N15)</x:f>
      </x:c>
      <x:c r="P15" s="28"/>
      <x:c r="Q15" s="28"/>
      <x:c r="R15" s="28"/>
      <x:c r="S15" s="28" t="str">
        <x:f>IF(COUNTA($B15:$C15)=0,"",P15+Q15-R15)</x:f>
      </x:c>
      <x:c r="T15" s="28"/>
      <x:c r="U15" s="28"/>
      <x:c r="V15" s="28"/>
      <x:c r="W15" s="28" t="str">
        <x:f>IF(COUNTA($B15:$C15)=0,"",T15+U15-V15)</x:f>
      </x:c>
      <x:c r="X15" s="29" t="str">
        <x:f>IF(COUNTA($B15:$C15)=0,"",G15+K15+O15+S15+W15)</x:f>
      </x:c>
      <x:c r="Y15" s="27" t="str">
        <x:f>IF(X15="","",RANK(X15,$X$4:$X$43,0))</x:f>
      </x:c>
    </x:row>
    <x:row r="16" ht="20" customHeight="1">
      <x:c r="A16" s="25"/>
      <x:c r="B16" s="25"/>
      <x:c r="C16" s="25"/>
      <x:c r="D16" s="28"/>
      <x:c r="E16" s="28"/>
      <x:c r="F16" s="28"/>
      <x:c r="G16" s="28" t="str">
        <x:f>IF(COUNTA($B16:$C16)=0,"",D16+E16-F16)</x:f>
      </x:c>
      <x:c r="H16" s="28"/>
      <x:c r="I16" s="28"/>
      <x:c r="J16" s="28"/>
      <x:c r="K16" s="28" t="str">
        <x:f>IF(COUNTA($B16:$C16)=0,"",H16+I16-J16)</x:f>
      </x:c>
      <x:c r="L16" s="28"/>
      <x:c r="M16" s="28"/>
      <x:c r="N16" s="28"/>
      <x:c r="O16" s="28" t="str">
        <x:f>IF(COUNTA($B16:$C16)=0,"",L16+M16-N16)</x:f>
      </x:c>
      <x:c r="P16" s="28"/>
      <x:c r="Q16" s="28"/>
      <x:c r="R16" s="28"/>
      <x:c r="S16" s="28" t="str">
        <x:f>IF(COUNTA($B16:$C16)=0,"",P16+Q16-R16)</x:f>
      </x:c>
      <x:c r="T16" s="28"/>
      <x:c r="U16" s="28"/>
      <x:c r="V16" s="28"/>
      <x:c r="W16" s="28" t="str">
        <x:f>IF(COUNTA($B16:$C16)=0,"",T16+U16-V16)</x:f>
      </x:c>
      <x:c r="X16" s="29" t="str">
        <x:f>IF(COUNTA($B16:$C16)=0,"",G16+K16+O16+S16+W16)</x:f>
      </x:c>
      <x:c r="Y16" s="27" t="str">
        <x:f>IF(X16="","",RANK(X16,$X$4:$X$43,0))</x:f>
      </x:c>
    </x:row>
    <x:row r="17" ht="20" customHeight="1">
      <x:c r="A17" s="25"/>
      <x:c r="B17" s="25"/>
      <x:c r="C17" s="25"/>
      <x:c r="D17" s="28"/>
      <x:c r="E17" s="28"/>
      <x:c r="F17" s="28"/>
      <x:c r="G17" s="28" t="str">
        <x:f>IF(COUNTA($B17:$C17)=0,"",D17+E17-F17)</x:f>
      </x:c>
      <x:c r="H17" s="28"/>
      <x:c r="I17" s="28"/>
      <x:c r="J17" s="28"/>
      <x:c r="K17" s="28" t="str">
        <x:f>IF(COUNTA($B17:$C17)=0,"",H17+I17-J17)</x:f>
      </x:c>
      <x:c r="L17" s="28"/>
      <x:c r="M17" s="28"/>
      <x:c r="N17" s="28"/>
      <x:c r="O17" s="28" t="str">
        <x:f>IF(COUNTA($B17:$C17)=0,"",L17+M17-N17)</x:f>
      </x:c>
      <x:c r="P17" s="28"/>
      <x:c r="Q17" s="28"/>
      <x:c r="R17" s="28"/>
      <x:c r="S17" s="28" t="str">
        <x:f>IF(COUNTA($B17:$C17)=0,"",P17+Q17-R17)</x:f>
      </x:c>
      <x:c r="T17" s="28"/>
      <x:c r="U17" s="28"/>
      <x:c r="V17" s="28"/>
      <x:c r="W17" s="28" t="str">
        <x:f>IF(COUNTA($B17:$C17)=0,"",T17+U17-V17)</x:f>
      </x:c>
      <x:c r="X17" s="29" t="str">
        <x:f>IF(COUNTA($B17:$C17)=0,"",G17+K17+O17+S17+W17)</x:f>
      </x:c>
      <x:c r="Y17" s="27" t="str">
        <x:f>IF(X17="","",RANK(X17,$X$4:$X$43,0))</x:f>
      </x:c>
    </x:row>
    <x:row r="18" ht="20" customHeight="1">
      <x:c r="A18" s="25"/>
      <x:c r="B18" s="25"/>
      <x:c r="C18" s="25"/>
      <x:c r="D18" s="28"/>
      <x:c r="E18" s="28"/>
      <x:c r="F18" s="28"/>
      <x:c r="G18" s="28" t="str">
        <x:f>IF(COUNTA($B18:$C18)=0,"",D18+E18-F18)</x:f>
      </x:c>
      <x:c r="H18" s="28"/>
      <x:c r="I18" s="28"/>
      <x:c r="J18" s="28"/>
      <x:c r="K18" s="28" t="str">
        <x:f>IF(COUNTA($B18:$C18)=0,"",H18+I18-J18)</x:f>
      </x:c>
      <x:c r="L18" s="28"/>
      <x:c r="M18" s="28"/>
      <x:c r="N18" s="28"/>
      <x:c r="O18" s="28" t="str">
        <x:f>IF(COUNTA($B18:$C18)=0,"",L18+M18-N18)</x:f>
      </x:c>
      <x:c r="P18" s="28"/>
      <x:c r="Q18" s="28"/>
      <x:c r="R18" s="28"/>
      <x:c r="S18" s="28" t="str">
        <x:f>IF(COUNTA($B18:$C18)=0,"",P18+Q18-R18)</x:f>
      </x:c>
      <x:c r="T18" s="28"/>
      <x:c r="U18" s="28"/>
      <x:c r="V18" s="28"/>
      <x:c r="W18" s="28" t="str">
        <x:f>IF(COUNTA($B18:$C18)=0,"",T18+U18-V18)</x:f>
      </x:c>
      <x:c r="X18" s="29" t="str">
        <x:f>IF(COUNTA($B18:$C18)=0,"",G18+K18+O18+S18+W18)</x:f>
      </x:c>
      <x:c r="Y18" s="27" t="str">
        <x:f>IF(X18="","",RANK(X18,$X$4:$X$43,0))</x:f>
      </x:c>
    </x:row>
    <x:row r="19" ht="20" customHeight="1">
      <x:c r="A19" s="25"/>
      <x:c r="B19" s="25"/>
      <x:c r="C19" s="25"/>
      <x:c r="D19" s="28"/>
      <x:c r="E19" s="28"/>
      <x:c r="F19" s="28"/>
      <x:c r="G19" s="28" t="str">
        <x:f>IF(COUNTA($B19:$C19)=0,"",D19+E19-F19)</x:f>
      </x:c>
      <x:c r="H19" s="28"/>
      <x:c r="I19" s="28"/>
      <x:c r="J19" s="28"/>
      <x:c r="K19" s="28" t="str">
        <x:f>IF(COUNTA($B19:$C19)=0,"",H19+I19-J19)</x:f>
      </x:c>
      <x:c r="L19" s="28"/>
      <x:c r="M19" s="28"/>
      <x:c r="N19" s="28"/>
      <x:c r="O19" s="28" t="str">
        <x:f>IF(COUNTA($B19:$C19)=0,"",L19+M19-N19)</x:f>
      </x:c>
      <x:c r="P19" s="28"/>
      <x:c r="Q19" s="28"/>
      <x:c r="R19" s="28"/>
      <x:c r="S19" s="28" t="str">
        <x:f>IF(COUNTA($B19:$C19)=0,"",P19+Q19-R19)</x:f>
      </x:c>
      <x:c r="T19" s="28"/>
      <x:c r="U19" s="28"/>
      <x:c r="V19" s="28"/>
      <x:c r="W19" s="28" t="str">
        <x:f>IF(COUNTA($B19:$C19)=0,"",T19+U19-V19)</x:f>
      </x:c>
      <x:c r="X19" s="29" t="str">
        <x:f>IF(COUNTA($B19:$C19)=0,"",G19+K19+O19+S19+W19)</x:f>
      </x:c>
      <x:c r="Y19" s="27" t="str">
        <x:f>IF(X19="","",RANK(X19,$X$4:$X$43,0))</x:f>
      </x:c>
    </x:row>
    <x:row r="20" ht="20" customHeight="1">
      <x:c r="A20" s="25"/>
      <x:c r="B20" s="25"/>
      <x:c r="C20" s="25"/>
      <x:c r="D20" s="28"/>
      <x:c r="E20" s="28"/>
      <x:c r="F20" s="28"/>
      <x:c r="G20" s="28" t="str">
        <x:f>IF(COUNTA($B20:$C20)=0,"",D20+E20-F20)</x:f>
      </x:c>
      <x:c r="H20" s="28"/>
      <x:c r="I20" s="28"/>
      <x:c r="J20" s="28"/>
      <x:c r="K20" s="28" t="str">
        <x:f>IF(COUNTA($B20:$C20)=0,"",H20+I20-J20)</x:f>
      </x:c>
      <x:c r="L20" s="28"/>
      <x:c r="M20" s="28"/>
      <x:c r="N20" s="28"/>
      <x:c r="O20" s="28" t="str">
        <x:f>IF(COUNTA($B20:$C20)=0,"",L20+M20-N20)</x:f>
      </x:c>
      <x:c r="P20" s="28"/>
      <x:c r="Q20" s="28"/>
      <x:c r="R20" s="28"/>
      <x:c r="S20" s="28" t="str">
        <x:f>IF(COUNTA($B20:$C20)=0,"",P20+Q20-R20)</x:f>
      </x:c>
      <x:c r="T20" s="28"/>
      <x:c r="U20" s="28"/>
      <x:c r="V20" s="28"/>
      <x:c r="W20" s="28" t="str">
        <x:f>IF(COUNTA($B20:$C20)=0,"",T20+U20-V20)</x:f>
      </x:c>
      <x:c r="X20" s="29" t="str">
        <x:f>IF(COUNTA($B20:$C20)=0,"",G20+K20+O20+S20+W20)</x:f>
      </x:c>
      <x:c r="Y20" s="27" t="str">
        <x:f>IF(X20="","",RANK(X20,$X$4:$X$43,0))</x:f>
      </x:c>
    </x:row>
    <x:row r="21" ht="20" customHeight="1">
      <x:c r="A21" s="25"/>
      <x:c r="B21" s="25"/>
      <x:c r="C21" s="25"/>
      <x:c r="D21" s="28"/>
      <x:c r="E21" s="28"/>
      <x:c r="F21" s="28"/>
      <x:c r="G21" s="28" t="str">
        <x:f>IF(COUNTA($B21:$C21)=0,"",D21+E21-F21)</x:f>
      </x:c>
      <x:c r="H21" s="28"/>
      <x:c r="I21" s="28"/>
      <x:c r="J21" s="28"/>
      <x:c r="K21" s="28" t="str">
        <x:f>IF(COUNTA($B21:$C21)=0,"",H21+I21-J21)</x:f>
      </x:c>
      <x:c r="L21" s="28"/>
      <x:c r="M21" s="28"/>
      <x:c r="N21" s="28"/>
      <x:c r="O21" s="28" t="str">
        <x:f>IF(COUNTA($B21:$C21)=0,"",L21+M21-N21)</x:f>
      </x:c>
      <x:c r="P21" s="28"/>
      <x:c r="Q21" s="28"/>
      <x:c r="R21" s="28"/>
      <x:c r="S21" s="28" t="str">
        <x:f>IF(COUNTA($B21:$C21)=0,"",P21+Q21-R21)</x:f>
      </x:c>
      <x:c r="T21" s="28"/>
      <x:c r="U21" s="28"/>
      <x:c r="V21" s="28"/>
      <x:c r="W21" s="28" t="str">
        <x:f>IF(COUNTA($B21:$C21)=0,"",T21+U21-V21)</x:f>
      </x:c>
      <x:c r="X21" s="29" t="str">
        <x:f>IF(COUNTA($B21:$C21)=0,"",G21+K21+O21+S21+W21)</x:f>
      </x:c>
      <x:c r="Y21" s="27" t="str">
        <x:f>IF(X21="","",RANK(X21,$X$4:$X$43,0))</x:f>
      </x:c>
    </x:row>
    <x:row r="22" ht="20" customHeight="1">
      <x:c r="A22" s="25"/>
      <x:c r="B22" s="25"/>
      <x:c r="C22" s="25"/>
      <x:c r="D22" s="28"/>
      <x:c r="E22" s="28"/>
      <x:c r="F22" s="28"/>
      <x:c r="G22" s="28" t="str">
        <x:f>IF(COUNTA($B22:$C22)=0,"",D22+E22-F22)</x:f>
      </x:c>
      <x:c r="H22" s="28"/>
      <x:c r="I22" s="28"/>
      <x:c r="J22" s="28"/>
      <x:c r="K22" s="28" t="str">
        <x:f>IF(COUNTA($B22:$C22)=0,"",H22+I22-J22)</x:f>
      </x:c>
      <x:c r="L22" s="28"/>
      <x:c r="M22" s="28"/>
      <x:c r="N22" s="28"/>
      <x:c r="O22" s="28" t="str">
        <x:f>IF(COUNTA($B22:$C22)=0,"",L22+M22-N22)</x:f>
      </x:c>
      <x:c r="P22" s="28"/>
      <x:c r="Q22" s="28"/>
      <x:c r="R22" s="28"/>
      <x:c r="S22" s="28" t="str">
        <x:f>IF(COUNTA($B22:$C22)=0,"",P22+Q22-R22)</x:f>
      </x:c>
      <x:c r="T22" s="28"/>
      <x:c r="U22" s="28"/>
      <x:c r="V22" s="28"/>
      <x:c r="W22" s="28" t="str">
        <x:f>IF(COUNTA($B22:$C22)=0,"",T22+U22-V22)</x:f>
      </x:c>
      <x:c r="X22" s="29" t="str">
        <x:f>IF(COUNTA($B22:$C22)=0,"",G22+K22+O22+S22+W22)</x:f>
      </x:c>
      <x:c r="Y22" s="27" t="str">
        <x:f>IF(X22="","",RANK(X22,$X$4:$X$43,0))</x:f>
      </x:c>
    </x:row>
    <x:row r="23" ht="20" customHeight="1">
      <x:c r="A23" s="25"/>
      <x:c r="B23" s="25"/>
      <x:c r="C23" s="25"/>
      <x:c r="D23" s="28"/>
      <x:c r="E23" s="28"/>
      <x:c r="F23" s="28"/>
      <x:c r="G23" s="28" t="str">
        <x:f>IF(COUNTA($B23:$C23)=0,"",D23+E23-F23)</x:f>
      </x:c>
      <x:c r="H23" s="28"/>
      <x:c r="I23" s="28"/>
      <x:c r="J23" s="28"/>
      <x:c r="K23" s="28" t="str">
        <x:f>IF(COUNTA($B23:$C23)=0,"",H23+I23-J23)</x:f>
      </x:c>
      <x:c r="L23" s="28"/>
      <x:c r="M23" s="28"/>
      <x:c r="N23" s="28"/>
      <x:c r="O23" s="28" t="str">
        <x:f>IF(COUNTA($B23:$C23)=0,"",L23+M23-N23)</x:f>
      </x:c>
      <x:c r="P23" s="28"/>
      <x:c r="Q23" s="28"/>
      <x:c r="R23" s="28"/>
      <x:c r="S23" s="28" t="str">
        <x:f>IF(COUNTA($B23:$C23)=0,"",P23+Q23-R23)</x:f>
      </x:c>
      <x:c r="T23" s="28"/>
      <x:c r="U23" s="28"/>
      <x:c r="V23" s="28"/>
      <x:c r="W23" s="28" t="str">
        <x:f>IF(COUNTA($B23:$C23)=0,"",T23+U23-V23)</x:f>
      </x:c>
      <x:c r="X23" s="29" t="str">
        <x:f>IF(COUNTA($B23:$C23)=0,"",G23+K23+O23+S23+W23)</x:f>
      </x:c>
      <x:c r="Y23" s="27" t="str">
        <x:f>IF(X23="","",RANK(X23,$X$4:$X$43,0))</x:f>
      </x:c>
    </x:row>
    <x:row r="24" ht="20" customHeight="1">
      <x:c r="A24" s="25"/>
      <x:c r="B24" s="25"/>
      <x:c r="C24" s="25"/>
      <x:c r="D24" s="28"/>
      <x:c r="E24" s="28"/>
      <x:c r="F24" s="28"/>
      <x:c r="G24" s="28" t="str">
        <x:f>IF(COUNTA($B24:$C24)=0,"",D24+E24-F24)</x:f>
      </x:c>
      <x:c r="H24" s="28"/>
      <x:c r="I24" s="28"/>
      <x:c r="J24" s="28"/>
      <x:c r="K24" s="28" t="str">
        <x:f>IF(COUNTA($B24:$C24)=0,"",H24+I24-J24)</x:f>
      </x:c>
      <x:c r="L24" s="28"/>
      <x:c r="M24" s="28"/>
      <x:c r="N24" s="28"/>
      <x:c r="O24" s="28" t="str">
        <x:f>IF(COUNTA($B24:$C24)=0,"",L24+M24-N24)</x:f>
      </x:c>
      <x:c r="P24" s="28"/>
      <x:c r="Q24" s="28"/>
      <x:c r="R24" s="28"/>
      <x:c r="S24" s="28" t="str">
        <x:f>IF(COUNTA($B24:$C24)=0,"",P24+Q24-R24)</x:f>
      </x:c>
      <x:c r="T24" s="28"/>
      <x:c r="U24" s="28"/>
      <x:c r="V24" s="28"/>
      <x:c r="W24" s="28" t="str">
        <x:f>IF(COUNTA($B24:$C24)=0,"",T24+U24-V24)</x:f>
      </x:c>
      <x:c r="X24" s="29" t="str">
        <x:f>IF(COUNTA($B24:$C24)=0,"",G24+K24+O24+S24+W24)</x:f>
      </x:c>
      <x:c r="Y24" s="27" t="str">
        <x:f>IF(X24="","",RANK(X24,$X$4:$X$43,0))</x:f>
      </x:c>
    </x:row>
    <x:row r="25" ht="20" customHeight="1">
      <x:c r="A25" s="25"/>
      <x:c r="B25" s="25"/>
      <x:c r="C25" s="25"/>
      <x:c r="D25" s="28"/>
      <x:c r="E25" s="28"/>
      <x:c r="F25" s="28"/>
      <x:c r="G25" s="28" t="str">
        <x:f>IF(COUNTA($B25:$C25)=0,"",D25+E25-F25)</x:f>
      </x:c>
      <x:c r="H25" s="28"/>
      <x:c r="I25" s="28"/>
      <x:c r="J25" s="28"/>
      <x:c r="K25" s="28" t="str">
        <x:f>IF(COUNTA($B25:$C25)=0,"",H25+I25-J25)</x:f>
      </x:c>
      <x:c r="L25" s="28"/>
      <x:c r="M25" s="28"/>
      <x:c r="N25" s="28"/>
      <x:c r="O25" s="28" t="str">
        <x:f>IF(COUNTA($B25:$C25)=0,"",L25+M25-N25)</x:f>
      </x:c>
      <x:c r="P25" s="28"/>
      <x:c r="Q25" s="28"/>
      <x:c r="R25" s="28"/>
      <x:c r="S25" s="28" t="str">
        <x:f>IF(COUNTA($B25:$C25)=0,"",P25+Q25-R25)</x:f>
      </x:c>
      <x:c r="T25" s="28"/>
      <x:c r="U25" s="28"/>
      <x:c r="V25" s="28"/>
      <x:c r="W25" s="28" t="str">
        <x:f>IF(COUNTA($B25:$C25)=0,"",T25+U25-V25)</x:f>
      </x:c>
      <x:c r="X25" s="29" t="str">
        <x:f>IF(COUNTA($B25:$C25)=0,"",G25+K25+O25+S25+W25)</x:f>
      </x:c>
      <x:c r="Y25" s="27" t="str">
        <x:f>IF(X25="","",RANK(X25,$X$4:$X$43,0))</x:f>
      </x:c>
    </x:row>
    <x:row r="26" ht="20" customHeight="1">
      <x:c r="A26" s="25"/>
      <x:c r="B26" s="25"/>
      <x:c r="C26" s="25"/>
      <x:c r="D26" s="28"/>
      <x:c r="E26" s="28"/>
      <x:c r="F26" s="28"/>
      <x:c r="G26" s="28" t="str">
        <x:f>IF(COUNTA($B26:$C26)=0,"",D26+E26-F26)</x:f>
      </x:c>
      <x:c r="H26" s="28"/>
      <x:c r="I26" s="28"/>
      <x:c r="J26" s="28"/>
      <x:c r="K26" s="28" t="str">
        <x:f>IF(COUNTA($B26:$C26)=0,"",H26+I26-J26)</x:f>
      </x:c>
      <x:c r="L26" s="28"/>
      <x:c r="M26" s="28"/>
      <x:c r="N26" s="28"/>
      <x:c r="O26" s="28" t="str">
        <x:f>IF(COUNTA($B26:$C26)=0,"",L26+M26-N26)</x:f>
      </x:c>
      <x:c r="P26" s="28"/>
      <x:c r="Q26" s="28"/>
      <x:c r="R26" s="28"/>
      <x:c r="S26" s="28" t="str">
        <x:f>IF(COUNTA($B26:$C26)=0,"",P26+Q26-R26)</x:f>
      </x:c>
      <x:c r="T26" s="28"/>
      <x:c r="U26" s="28"/>
      <x:c r="V26" s="28"/>
      <x:c r="W26" s="28" t="str">
        <x:f>IF(COUNTA($B26:$C26)=0,"",T26+U26-V26)</x:f>
      </x:c>
      <x:c r="X26" s="29" t="str">
        <x:f>IF(COUNTA($B26:$C26)=0,"",G26+K26+O26+S26+W26)</x:f>
      </x:c>
      <x:c r="Y26" s="27" t="str">
        <x:f>IF(X26="","",RANK(X26,$X$4:$X$43,0))</x:f>
      </x:c>
    </x:row>
    <x:row r="27" ht="20" customHeight="1">
      <x:c r="A27" s="25"/>
      <x:c r="B27" s="25"/>
      <x:c r="C27" s="25"/>
      <x:c r="D27" s="28"/>
      <x:c r="E27" s="28"/>
      <x:c r="F27" s="28"/>
      <x:c r="G27" s="28" t="str">
        <x:f>IF(COUNTA($B27:$C27)=0,"",D27+E27-F27)</x:f>
      </x:c>
      <x:c r="H27" s="28"/>
      <x:c r="I27" s="28"/>
      <x:c r="J27" s="28"/>
      <x:c r="K27" s="28" t="str">
        <x:f>IF(COUNTA($B27:$C27)=0,"",H27+I27-J27)</x:f>
      </x:c>
      <x:c r="L27" s="28"/>
      <x:c r="M27" s="28"/>
      <x:c r="N27" s="28"/>
      <x:c r="O27" s="28" t="str">
        <x:f>IF(COUNTA($B27:$C27)=0,"",L27+M27-N27)</x:f>
      </x:c>
      <x:c r="P27" s="28"/>
      <x:c r="Q27" s="28"/>
      <x:c r="R27" s="28"/>
      <x:c r="S27" s="28" t="str">
        <x:f>IF(COUNTA($B27:$C27)=0,"",P27+Q27-R27)</x:f>
      </x:c>
      <x:c r="T27" s="28"/>
      <x:c r="U27" s="28"/>
      <x:c r="V27" s="28"/>
      <x:c r="W27" s="28" t="str">
        <x:f>IF(COUNTA($B27:$C27)=0,"",T27+U27-V27)</x:f>
      </x:c>
      <x:c r="X27" s="29" t="str">
        <x:f>IF(COUNTA($B27:$C27)=0,"",G27+K27+O27+S27+W27)</x:f>
      </x:c>
      <x:c r="Y27" s="27" t="str">
        <x:f>IF(X27="","",RANK(X27,$X$4:$X$43,0))</x:f>
      </x:c>
    </x:row>
    <x:row r="28" ht="20" customHeight="1">
      <x:c r="A28" s="25"/>
      <x:c r="B28" s="25"/>
      <x:c r="C28" s="25"/>
      <x:c r="D28" s="28"/>
      <x:c r="E28" s="28"/>
      <x:c r="F28" s="28"/>
      <x:c r="G28" s="28" t="str">
        <x:f>IF(COUNTA($B28:$C28)=0,"",D28+E28-F28)</x:f>
      </x:c>
      <x:c r="H28" s="28"/>
      <x:c r="I28" s="28"/>
      <x:c r="J28" s="28"/>
      <x:c r="K28" s="28" t="str">
        <x:f>IF(COUNTA($B28:$C28)=0,"",H28+I28-J28)</x:f>
      </x:c>
      <x:c r="L28" s="28"/>
      <x:c r="M28" s="28"/>
      <x:c r="N28" s="28"/>
      <x:c r="O28" s="28" t="str">
        <x:f>IF(COUNTA($B28:$C28)=0,"",L28+M28-N28)</x:f>
      </x:c>
      <x:c r="P28" s="28"/>
      <x:c r="Q28" s="28"/>
      <x:c r="R28" s="28"/>
      <x:c r="S28" s="28" t="str">
        <x:f>IF(COUNTA($B28:$C28)=0,"",P28+Q28-R28)</x:f>
      </x:c>
      <x:c r="T28" s="28"/>
      <x:c r="U28" s="28"/>
      <x:c r="V28" s="28"/>
      <x:c r="W28" s="28" t="str">
        <x:f>IF(COUNTA($B28:$C28)=0,"",T28+U28-V28)</x:f>
      </x:c>
      <x:c r="X28" s="29" t="str">
        <x:f>IF(COUNTA($B28:$C28)=0,"",G28+K28+O28+S28+W28)</x:f>
      </x:c>
      <x:c r="Y28" s="27" t="str">
        <x:f>IF(X28="","",RANK(X28,$X$4:$X$43,0))</x:f>
      </x:c>
    </x:row>
    <x:row r="29" ht="20" customHeight="1">
      <x:c r="A29" s="25"/>
      <x:c r="B29" s="25"/>
      <x:c r="C29" s="25"/>
      <x:c r="D29" s="28"/>
      <x:c r="E29" s="28"/>
      <x:c r="F29" s="28"/>
      <x:c r="G29" s="28" t="str">
        <x:f>IF(COUNTA($B29:$C29)=0,"",D29+E29-F29)</x:f>
      </x:c>
      <x:c r="H29" s="28"/>
      <x:c r="I29" s="28"/>
      <x:c r="J29" s="28"/>
      <x:c r="K29" s="28" t="str">
        <x:f>IF(COUNTA($B29:$C29)=0,"",H29+I29-J29)</x:f>
      </x:c>
      <x:c r="L29" s="28"/>
      <x:c r="M29" s="28"/>
      <x:c r="N29" s="28"/>
      <x:c r="O29" s="28" t="str">
        <x:f>IF(COUNTA($B29:$C29)=0,"",L29+M29-N29)</x:f>
      </x:c>
      <x:c r="P29" s="28"/>
      <x:c r="Q29" s="28"/>
      <x:c r="R29" s="28"/>
      <x:c r="S29" s="28" t="str">
        <x:f>IF(COUNTA($B29:$C29)=0,"",P29+Q29-R29)</x:f>
      </x:c>
      <x:c r="T29" s="28"/>
      <x:c r="U29" s="28"/>
      <x:c r="V29" s="28"/>
      <x:c r="W29" s="28" t="str">
        <x:f>IF(COUNTA($B29:$C29)=0,"",T29+U29-V29)</x:f>
      </x:c>
      <x:c r="X29" s="29" t="str">
        <x:f>IF(COUNTA($B29:$C29)=0,"",G29+K29+O29+S29+W29)</x:f>
      </x:c>
      <x:c r="Y29" s="27" t="str">
        <x:f>IF(X29="","",RANK(X29,$X$4:$X$43,0))</x:f>
      </x:c>
    </x:row>
    <x:row r="30" ht="20" customHeight="1">
      <x:c r="A30" s="25"/>
      <x:c r="B30" s="25"/>
      <x:c r="C30" s="25"/>
      <x:c r="D30" s="28"/>
      <x:c r="E30" s="28"/>
      <x:c r="F30" s="28"/>
      <x:c r="G30" s="28" t="str">
        <x:f>IF(COUNTA($B30:$C30)=0,"",D30+E30-F30)</x:f>
      </x:c>
      <x:c r="H30" s="28"/>
      <x:c r="I30" s="28"/>
      <x:c r="J30" s="28"/>
      <x:c r="K30" s="28" t="str">
        <x:f>IF(COUNTA($B30:$C30)=0,"",H30+I30-J30)</x:f>
      </x:c>
      <x:c r="L30" s="28"/>
      <x:c r="M30" s="28"/>
      <x:c r="N30" s="28"/>
      <x:c r="O30" s="28" t="str">
        <x:f>IF(COUNTA($B30:$C30)=0,"",L30+M30-N30)</x:f>
      </x:c>
      <x:c r="P30" s="28"/>
      <x:c r="Q30" s="28"/>
      <x:c r="R30" s="28"/>
      <x:c r="S30" s="28" t="str">
        <x:f>IF(COUNTA($B30:$C30)=0,"",P30+Q30-R30)</x:f>
      </x:c>
      <x:c r="T30" s="28"/>
      <x:c r="U30" s="28"/>
      <x:c r="V30" s="28"/>
      <x:c r="W30" s="28" t="str">
        <x:f>IF(COUNTA($B30:$C30)=0,"",T30+U30-V30)</x:f>
      </x:c>
      <x:c r="X30" s="29" t="str">
        <x:f>IF(COUNTA($B30:$C30)=0,"",G30+K30+O30+S30+W30)</x:f>
      </x:c>
      <x:c r="Y30" s="27" t="str">
        <x:f>IF(X30="","",RANK(X30,$X$4:$X$43,0))</x:f>
      </x:c>
    </x:row>
    <x:row r="31" ht="20" customHeight="1">
      <x:c r="A31" s="25"/>
      <x:c r="B31" s="25"/>
      <x:c r="C31" s="25"/>
      <x:c r="D31" s="28"/>
      <x:c r="E31" s="28"/>
      <x:c r="F31" s="28"/>
      <x:c r="G31" s="28" t="str">
        <x:f>IF(COUNTA($B31:$C31)=0,"",D31+E31-F31)</x:f>
      </x:c>
      <x:c r="H31" s="28"/>
      <x:c r="I31" s="28"/>
      <x:c r="J31" s="28"/>
      <x:c r="K31" s="28" t="str">
        <x:f>IF(COUNTA($B31:$C31)=0,"",H31+I31-J31)</x:f>
      </x:c>
      <x:c r="L31" s="28"/>
      <x:c r="M31" s="28"/>
      <x:c r="N31" s="28"/>
      <x:c r="O31" s="28" t="str">
        <x:f>IF(COUNTA($B31:$C31)=0,"",L31+M31-N31)</x:f>
      </x:c>
      <x:c r="P31" s="28"/>
      <x:c r="Q31" s="28"/>
      <x:c r="R31" s="28"/>
      <x:c r="S31" s="28" t="str">
        <x:f>IF(COUNTA($B31:$C31)=0,"",P31+Q31-R31)</x:f>
      </x:c>
      <x:c r="T31" s="28"/>
      <x:c r="U31" s="28"/>
      <x:c r="V31" s="28"/>
      <x:c r="W31" s="28" t="str">
        <x:f>IF(COUNTA($B31:$C31)=0,"",T31+U31-V31)</x:f>
      </x:c>
      <x:c r="X31" s="29" t="str">
        <x:f>IF(COUNTA($B31:$C31)=0,"",G31+K31+O31+S31+W31)</x:f>
      </x:c>
      <x:c r="Y31" s="27" t="str">
        <x:f>IF(X31="","",RANK(X31,$X$4:$X$43,0))</x:f>
      </x:c>
    </x:row>
    <x:row r="32" ht="20" customHeight="1">
      <x:c r="A32" s="25"/>
      <x:c r="B32" s="25"/>
      <x:c r="C32" s="25"/>
      <x:c r="D32" s="28"/>
      <x:c r="E32" s="28"/>
      <x:c r="F32" s="28"/>
      <x:c r="G32" s="28" t="str">
        <x:f>IF(COUNTA($B32:$C32)=0,"",D32+E32-F32)</x:f>
      </x:c>
      <x:c r="H32" s="28"/>
      <x:c r="I32" s="28"/>
      <x:c r="J32" s="28"/>
      <x:c r="K32" s="28" t="str">
        <x:f>IF(COUNTA($B32:$C32)=0,"",H32+I32-J32)</x:f>
      </x:c>
      <x:c r="L32" s="28"/>
      <x:c r="M32" s="28"/>
      <x:c r="N32" s="28"/>
      <x:c r="O32" s="28" t="str">
        <x:f>IF(COUNTA($B32:$C32)=0,"",L32+M32-N32)</x:f>
      </x:c>
      <x:c r="P32" s="28"/>
      <x:c r="Q32" s="28"/>
      <x:c r="R32" s="28"/>
      <x:c r="S32" s="28" t="str">
        <x:f>IF(COUNTA($B32:$C32)=0,"",P32+Q32-R32)</x:f>
      </x:c>
      <x:c r="T32" s="28"/>
      <x:c r="U32" s="28"/>
      <x:c r="V32" s="28"/>
      <x:c r="W32" s="28" t="str">
        <x:f>IF(COUNTA($B32:$C32)=0,"",T32+U32-V32)</x:f>
      </x:c>
      <x:c r="X32" s="29" t="str">
        <x:f>IF(COUNTA($B32:$C32)=0,"",G32+K32+O32+S32+W32)</x:f>
      </x:c>
      <x:c r="Y32" s="27" t="str">
        <x:f>IF(X32="","",RANK(X32,$X$4:$X$43,0))</x:f>
      </x:c>
    </x:row>
    <x:row r="33" ht="20" customHeight="1">
      <x:c r="A33" s="25"/>
      <x:c r="B33" s="25"/>
      <x:c r="C33" s="25"/>
      <x:c r="D33" s="28"/>
      <x:c r="E33" s="28"/>
      <x:c r="F33" s="28"/>
      <x:c r="G33" s="28" t="str">
        <x:f>IF(COUNTA($B33:$C33)=0,"",D33+E33-F33)</x:f>
      </x:c>
      <x:c r="H33" s="28"/>
      <x:c r="I33" s="28"/>
      <x:c r="J33" s="28"/>
      <x:c r="K33" s="28" t="str">
        <x:f>IF(COUNTA($B33:$C33)=0,"",H33+I33-J33)</x:f>
      </x:c>
      <x:c r="L33" s="28"/>
      <x:c r="M33" s="28"/>
      <x:c r="N33" s="28"/>
      <x:c r="O33" s="28" t="str">
        <x:f>IF(COUNTA($B33:$C33)=0,"",L33+M33-N33)</x:f>
      </x:c>
      <x:c r="P33" s="28"/>
      <x:c r="Q33" s="28"/>
      <x:c r="R33" s="28"/>
      <x:c r="S33" s="28" t="str">
        <x:f>IF(COUNTA($B33:$C33)=0,"",P33+Q33-R33)</x:f>
      </x:c>
      <x:c r="T33" s="28"/>
      <x:c r="U33" s="28"/>
      <x:c r="V33" s="28"/>
      <x:c r="W33" s="28" t="str">
        <x:f>IF(COUNTA($B33:$C33)=0,"",T33+U33-V33)</x:f>
      </x:c>
      <x:c r="X33" s="29" t="str">
        <x:f>IF(COUNTA($B33:$C33)=0,"",G33+K33+O33+S33+W33)</x:f>
      </x:c>
      <x:c r="Y33" s="27" t="str">
        <x:f>IF(X33="","",RANK(X33,$X$4:$X$43,0))</x:f>
      </x:c>
    </x:row>
    <x:row r="34" ht="20" customHeight="1">
      <x:c r="A34" s="25"/>
      <x:c r="B34" s="25"/>
      <x:c r="C34" s="25"/>
      <x:c r="D34" s="28"/>
      <x:c r="E34" s="28"/>
      <x:c r="F34" s="28"/>
      <x:c r="G34" s="28" t="str">
        <x:f>IF(COUNTA($B34:$C34)=0,"",D34+E34-F34)</x:f>
      </x:c>
      <x:c r="H34" s="28"/>
      <x:c r="I34" s="28"/>
      <x:c r="J34" s="28"/>
      <x:c r="K34" s="28" t="str">
        <x:f>IF(COUNTA($B34:$C34)=0,"",H34+I34-J34)</x:f>
      </x:c>
      <x:c r="L34" s="28"/>
      <x:c r="M34" s="28"/>
      <x:c r="N34" s="28"/>
      <x:c r="O34" s="28" t="str">
        <x:f>IF(COUNTA($B34:$C34)=0,"",L34+M34-N34)</x:f>
      </x:c>
      <x:c r="P34" s="28"/>
      <x:c r="Q34" s="28"/>
      <x:c r="R34" s="28"/>
      <x:c r="S34" s="28" t="str">
        <x:f>IF(COUNTA($B34:$C34)=0,"",P34+Q34-R34)</x:f>
      </x:c>
      <x:c r="T34" s="28"/>
      <x:c r="U34" s="28"/>
      <x:c r="V34" s="28"/>
      <x:c r="W34" s="28" t="str">
        <x:f>IF(COUNTA($B34:$C34)=0,"",T34+U34-V34)</x:f>
      </x:c>
      <x:c r="X34" s="29" t="str">
        <x:f>IF(COUNTA($B34:$C34)=0,"",G34+K34+O34+S34+W34)</x:f>
      </x:c>
      <x:c r="Y34" s="27" t="str">
        <x:f>IF(X34="","",RANK(X34,$X$4:$X$43,0))</x:f>
      </x:c>
    </x:row>
    <x:row r="35" ht="20" customHeight="1">
      <x:c r="A35" s="25"/>
      <x:c r="B35" s="25"/>
      <x:c r="C35" s="25"/>
      <x:c r="D35" s="28"/>
      <x:c r="E35" s="28"/>
      <x:c r="F35" s="28"/>
      <x:c r="G35" s="28" t="str">
        <x:f>IF(COUNTA($B35:$C35)=0,"",D35+E35-F35)</x:f>
      </x:c>
      <x:c r="H35" s="28"/>
      <x:c r="I35" s="28"/>
      <x:c r="J35" s="28"/>
      <x:c r="K35" s="28" t="str">
        <x:f>IF(COUNTA($B35:$C35)=0,"",H35+I35-J35)</x:f>
      </x:c>
      <x:c r="L35" s="28"/>
      <x:c r="M35" s="28"/>
      <x:c r="N35" s="28"/>
      <x:c r="O35" s="28" t="str">
        <x:f>IF(COUNTA($B35:$C35)=0,"",L35+M35-N35)</x:f>
      </x:c>
      <x:c r="P35" s="28"/>
      <x:c r="Q35" s="28"/>
      <x:c r="R35" s="28"/>
      <x:c r="S35" s="28" t="str">
        <x:f>IF(COUNTA($B35:$C35)=0,"",P35+Q35-R35)</x:f>
      </x:c>
      <x:c r="T35" s="28"/>
      <x:c r="U35" s="28"/>
      <x:c r="V35" s="28"/>
      <x:c r="W35" s="28" t="str">
        <x:f>IF(COUNTA($B35:$C35)=0,"",T35+U35-V35)</x:f>
      </x:c>
      <x:c r="X35" s="29" t="str">
        <x:f>IF(COUNTA($B35:$C35)=0,"",G35+K35+O35+S35+W35)</x:f>
      </x:c>
      <x:c r="Y35" s="27" t="str">
        <x:f>IF(X35="","",RANK(X35,$X$4:$X$43,0))</x:f>
      </x:c>
    </x:row>
    <x:row r="36" ht="20" customHeight="1">
      <x:c r="A36" s="25"/>
      <x:c r="B36" s="25"/>
      <x:c r="C36" s="25"/>
      <x:c r="D36" s="28"/>
      <x:c r="E36" s="28"/>
      <x:c r="F36" s="28"/>
      <x:c r="G36" s="28" t="str">
        <x:f>IF(COUNTA($B36:$C36)=0,"",D36+E36-F36)</x:f>
      </x:c>
      <x:c r="H36" s="28"/>
      <x:c r="I36" s="28"/>
      <x:c r="J36" s="28"/>
      <x:c r="K36" s="28" t="str">
        <x:f>IF(COUNTA($B36:$C36)=0,"",H36+I36-J36)</x:f>
      </x:c>
      <x:c r="L36" s="28"/>
      <x:c r="M36" s="28"/>
      <x:c r="N36" s="28"/>
      <x:c r="O36" s="28" t="str">
        <x:f>IF(COUNTA($B36:$C36)=0,"",L36+M36-N36)</x:f>
      </x:c>
      <x:c r="P36" s="28"/>
      <x:c r="Q36" s="28"/>
      <x:c r="R36" s="28"/>
      <x:c r="S36" s="28" t="str">
        <x:f>IF(COUNTA($B36:$C36)=0,"",P36+Q36-R36)</x:f>
      </x:c>
      <x:c r="T36" s="28"/>
      <x:c r="U36" s="28"/>
      <x:c r="V36" s="28"/>
      <x:c r="W36" s="28" t="str">
        <x:f>IF(COUNTA($B36:$C36)=0,"",T36+U36-V36)</x:f>
      </x:c>
      <x:c r="X36" s="29" t="str">
        <x:f>IF(COUNTA($B36:$C36)=0,"",G36+K36+O36+S36+W36)</x:f>
      </x:c>
      <x:c r="Y36" s="27" t="str">
        <x:f>IF(X36="","",RANK(X36,$X$4:$X$43,0))</x:f>
      </x:c>
    </x:row>
    <x:row r="37" ht="20" customHeight="1">
      <x:c r="A37" s="25"/>
      <x:c r="B37" s="25"/>
      <x:c r="C37" s="25"/>
      <x:c r="D37" s="28"/>
      <x:c r="E37" s="28"/>
      <x:c r="F37" s="28"/>
      <x:c r="G37" s="28" t="str">
        <x:f>IF(COUNTA($B37:$C37)=0,"",D37+E37-F37)</x:f>
      </x:c>
      <x:c r="H37" s="28"/>
      <x:c r="I37" s="28"/>
      <x:c r="J37" s="28"/>
      <x:c r="K37" s="28" t="str">
        <x:f>IF(COUNTA($B37:$C37)=0,"",H37+I37-J37)</x:f>
      </x:c>
      <x:c r="L37" s="28"/>
      <x:c r="M37" s="28"/>
      <x:c r="N37" s="28"/>
      <x:c r="O37" s="28" t="str">
        <x:f>IF(COUNTA($B37:$C37)=0,"",L37+M37-N37)</x:f>
      </x:c>
      <x:c r="P37" s="28"/>
      <x:c r="Q37" s="28"/>
      <x:c r="R37" s="28"/>
      <x:c r="S37" s="28" t="str">
        <x:f>IF(COUNTA($B37:$C37)=0,"",P37+Q37-R37)</x:f>
      </x:c>
      <x:c r="T37" s="28"/>
      <x:c r="U37" s="28"/>
      <x:c r="V37" s="28"/>
      <x:c r="W37" s="28" t="str">
        <x:f>IF(COUNTA($B37:$C37)=0,"",T37+U37-V37)</x:f>
      </x:c>
      <x:c r="X37" s="29" t="str">
        <x:f>IF(COUNTA($B37:$C37)=0,"",G37+K37+O37+S37+W37)</x:f>
      </x:c>
      <x:c r="Y37" s="27" t="str">
        <x:f>IF(X37="","",RANK(X37,$X$4:$X$43,0))</x:f>
      </x:c>
    </x:row>
    <x:row r="38" ht="20" customHeight="1">
      <x:c r="A38" s="25"/>
      <x:c r="B38" s="25"/>
      <x:c r="C38" s="25"/>
      <x:c r="D38" s="28"/>
      <x:c r="E38" s="28"/>
      <x:c r="F38" s="28"/>
      <x:c r="G38" s="28" t="str">
        <x:f>IF(COUNTA($B38:$C38)=0,"",D38+E38-F38)</x:f>
      </x:c>
      <x:c r="H38" s="28"/>
      <x:c r="I38" s="28"/>
      <x:c r="J38" s="28"/>
      <x:c r="K38" s="28" t="str">
        <x:f>IF(COUNTA($B38:$C38)=0,"",H38+I38-J38)</x:f>
      </x:c>
      <x:c r="L38" s="28"/>
      <x:c r="M38" s="28"/>
      <x:c r="N38" s="28"/>
      <x:c r="O38" s="28" t="str">
        <x:f>IF(COUNTA($B38:$C38)=0,"",L38+M38-N38)</x:f>
      </x:c>
      <x:c r="P38" s="28"/>
      <x:c r="Q38" s="28"/>
      <x:c r="R38" s="28"/>
      <x:c r="S38" s="28" t="str">
        <x:f>IF(COUNTA($B38:$C38)=0,"",P38+Q38-R38)</x:f>
      </x:c>
      <x:c r="T38" s="28"/>
      <x:c r="U38" s="28"/>
      <x:c r="V38" s="28"/>
      <x:c r="W38" s="28" t="str">
        <x:f>IF(COUNTA($B38:$C38)=0,"",T38+U38-V38)</x:f>
      </x:c>
      <x:c r="X38" s="29" t="str">
        <x:f>IF(COUNTA($B38:$C38)=0,"",G38+K38+O38+S38+W38)</x:f>
      </x:c>
      <x:c r="Y38" s="27" t="str">
        <x:f>IF(X38="","",RANK(X38,$X$4:$X$43,0))</x:f>
      </x:c>
    </x:row>
    <x:row r="39" ht="20" customHeight="1">
      <x:c r="A39" s="25"/>
      <x:c r="B39" s="25"/>
      <x:c r="C39" s="25"/>
      <x:c r="D39" s="28"/>
      <x:c r="E39" s="28"/>
      <x:c r="F39" s="28"/>
      <x:c r="G39" s="28" t="str">
        <x:f>IF(COUNTA($B39:$C39)=0,"",D39+E39-F39)</x:f>
      </x:c>
      <x:c r="H39" s="28"/>
      <x:c r="I39" s="28"/>
      <x:c r="J39" s="28"/>
      <x:c r="K39" s="28" t="str">
        <x:f>IF(COUNTA($B39:$C39)=0,"",H39+I39-J39)</x:f>
      </x:c>
      <x:c r="L39" s="28"/>
      <x:c r="M39" s="28"/>
      <x:c r="N39" s="28"/>
      <x:c r="O39" s="28" t="str">
        <x:f>IF(COUNTA($B39:$C39)=0,"",L39+M39-N39)</x:f>
      </x:c>
      <x:c r="P39" s="28"/>
      <x:c r="Q39" s="28"/>
      <x:c r="R39" s="28"/>
      <x:c r="S39" s="28" t="str">
        <x:f>IF(COUNTA($B39:$C39)=0,"",P39+Q39-R39)</x:f>
      </x:c>
      <x:c r="T39" s="28"/>
      <x:c r="U39" s="28"/>
      <x:c r="V39" s="28"/>
      <x:c r="W39" s="28" t="str">
        <x:f>IF(COUNTA($B39:$C39)=0,"",T39+U39-V39)</x:f>
      </x:c>
      <x:c r="X39" s="29" t="str">
        <x:f>IF(COUNTA($B39:$C39)=0,"",G39+K39+O39+S39+W39)</x:f>
      </x:c>
      <x:c r="Y39" s="27" t="str">
        <x:f>IF(X39="","",RANK(X39,$X$4:$X$43,0))</x:f>
      </x:c>
    </x:row>
    <x:row r="40" ht="20" customHeight="1">
      <x:c r="A40" s="25"/>
      <x:c r="B40" s="25"/>
      <x:c r="C40" s="25"/>
      <x:c r="D40" s="28"/>
      <x:c r="E40" s="28"/>
      <x:c r="F40" s="28"/>
      <x:c r="G40" s="28" t="str">
        <x:f>IF(COUNTA($B40:$C40)=0,"",D40+E40-F40)</x:f>
      </x:c>
      <x:c r="H40" s="28"/>
      <x:c r="I40" s="28"/>
      <x:c r="J40" s="28"/>
      <x:c r="K40" s="28" t="str">
        <x:f>IF(COUNTA($B40:$C40)=0,"",H40+I40-J40)</x:f>
      </x:c>
      <x:c r="L40" s="28"/>
      <x:c r="M40" s="28"/>
      <x:c r="N40" s="28"/>
      <x:c r="O40" s="28" t="str">
        <x:f>IF(COUNTA($B40:$C40)=0,"",L40+M40-N40)</x:f>
      </x:c>
      <x:c r="P40" s="28"/>
      <x:c r="Q40" s="28"/>
      <x:c r="R40" s="28"/>
      <x:c r="S40" s="28" t="str">
        <x:f>IF(COUNTA($B40:$C40)=0,"",P40+Q40-R40)</x:f>
      </x:c>
      <x:c r="T40" s="28"/>
      <x:c r="U40" s="28"/>
      <x:c r="V40" s="28"/>
      <x:c r="W40" s="28" t="str">
        <x:f>IF(COUNTA($B40:$C40)=0,"",T40+U40-V40)</x:f>
      </x:c>
      <x:c r="X40" s="29" t="str">
        <x:f>IF(COUNTA($B40:$C40)=0,"",G40+K40+O40+S40+W40)</x:f>
      </x:c>
      <x:c r="Y40" s="27" t="str">
        <x:f>IF(X40="","",RANK(X40,$X$4:$X$43,0))</x:f>
      </x:c>
    </x:row>
    <x:row r="41" ht="20" customHeight="1">
      <x:c r="A41" s="25"/>
      <x:c r="B41" s="25"/>
      <x:c r="C41" s="25"/>
      <x:c r="D41" s="28"/>
      <x:c r="E41" s="28"/>
      <x:c r="F41" s="28"/>
      <x:c r="G41" s="28" t="str">
        <x:f>IF(COUNTA($B41:$C41)=0,"",D41+E41-F41)</x:f>
      </x:c>
      <x:c r="H41" s="28"/>
      <x:c r="I41" s="28"/>
      <x:c r="J41" s="28"/>
      <x:c r="K41" s="28" t="str">
        <x:f>IF(COUNTA($B41:$C41)=0,"",H41+I41-J41)</x:f>
      </x:c>
      <x:c r="L41" s="28"/>
      <x:c r="M41" s="28"/>
      <x:c r="N41" s="28"/>
      <x:c r="O41" s="28" t="str">
        <x:f>IF(COUNTA($B41:$C41)=0,"",L41+M41-N41)</x:f>
      </x:c>
      <x:c r="P41" s="28"/>
      <x:c r="Q41" s="28"/>
      <x:c r="R41" s="28"/>
      <x:c r="S41" s="28" t="str">
        <x:f>IF(COUNTA($B41:$C41)=0,"",P41+Q41-R41)</x:f>
      </x:c>
      <x:c r="T41" s="28"/>
      <x:c r="U41" s="28"/>
      <x:c r="V41" s="28"/>
      <x:c r="W41" s="28" t="str">
        <x:f>IF(COUNTA($B41:$C41)=0,"",T41+U41-V41)</x:f>
      </x:c>
      <x:c r="X41" s="29" t="str">
        <x:f>IF(COUNTA($B41:$C41)=0,"",G41+K41+O41+S41+W41)</x:f>
      </x:c>
      <x:c r="Y41" s="27" t="str">
        <x:f>IF(X41="","",RANK(X41,$X$4:$X$43,0))</x:f>
      </x:c>
    </x:row>
    <x:row r="42" ht="20" customHeight="1">
      <x:c r="A42" s="25"/>
      <x:c r="B42" s="25"/>
      <x:c r="C42" s="25"/>
      <x:c r="D42" s="28"/>
      <x:c r="E42" s="28"/>
      <x:c r="F42" s="28"/>
      <x:c r="G42" s="28" t="str">
        <x:f>IF(COUNTA($B42:$C42)=0,"",D42+E42-F42)</x:f>
      </x:c>
      <x:c r="H42" s="28"/>
      <x:c r="I42" s="28"/>
      <x:c r="J42" s="28"/>
      <x:c r="K42" s="28" t="str">
        <x:f>IF(COUNTA($B42:$C42)=0,"",H42+I42-J42)</x:f>
      </x:c>
      <x:c r="L42" s="28"/>
      <x:c r="M42" s="28"/>
      <x:c r="N42" s="28"/>
      <x:c r="O42" s="28" t="str">
        <x:f>IF(COUNTA($B42:$C42)=0,"",L42+M42-N42)</x:f>
      </x:c>
      <x:c r="P42" s="28"/>
      <x:c r="Q42" s="28"/>
      <x:c r="R42" s="28"/>
      <x:c r="S42" s="28" t="str">
        <x:f>IF(COUNTA($B42:$C42)=0,"",P42+Q42-R42)</x:f>
      </x:c>
      <x:c r="T42" s="28"/>
      <x:c r="U42" s="28"/>
      <x:c r="V42" s="28"/>
      <x:c r="W42" s="28" t="str">
        <x:f>IF(COUNTA($B42:$C42)=0,"",T42+U42-V42)</x:f>
      </x:c>
      <x:c r="X42" s="29" t="str">
        <x:f>IF(COUNTA($B42:$C42)=0,"",G42+K42+O42+S42+W42)</x:f>
      </x:c>
      <x:c r="Y42" s="27" t="str">
        <x:f>IF(X42="","",RANK(X42,$X$4:$X$43,0))</x:f>
      </x:c>
    </x:row>
    <x:row r="43" ht="20" customHeight="1">
      <x:c r="A43" s="25"/>
      <x:c r="B43" s="25"/>
      <x:c r="C43" s="25"/>
      <x:c r="D43" s="28"/>
      <x:c r="E43" s="28"/>
      <x:c r="F43" s="28"/>
      <x:c r="G43" s="28" t="str">
        <x:f>IF(COUNTA($B43:$C43)=0,"",D43+E43-F43)</x:f>
      </x:c>
      <x:c r="H43" s="28"/>
      <x:c r="I43" s="28"/>
      <x:c r="J43" s="28"/>
      <x:c r="K43" s="28" t="str">
        <x:f>IF(COUNTA($B43:$C43)=0,"",H43+I43-J43)</x:f>
      </x:c>
      <x:c r="L43" s="28"/>
      <x:c r="M43" s="28"/>
      <x:c r="N43" s="28"/>
      <x:c r="O43" s="28" t="str">
        <x:f>IF(COUNTA($B43:$C43)=0,"",L43+M43-N43)</x:f>
      </x:c>
      <x:c r="P43" s="28"/>
      <x:c r="Q43" s="28"/>
      <x:c r="R43" s="28"/>
      <x:c r="S43" s="28" t="str">
        <x:f>IF(COUNTA($B43:$C43)=0,"",P43+Q43-R43)</x:f>
      </x:c>
      <x:c r="T43" s="28"/>
      <x:c r="U43" s="28"/>
      <x:c r="V43" s="28"/>
      <x:c r="W43" s="28" t="str">
        <x:f>IF(COUNTA($B43:$C43)=0,"",T43+U43-V43)</x:f>
      </x:c>
      <x:c r="X43" s="29" t="str">
        <x:f>IF(COUNTA($B43:$C43)=0,"",G43+K43+O43+S43+W43)</x:f>
      </x:c>
      <x:c r="Y43" s="27" t="str">
        <x:f>IF(X43="","",RANK(X43,$X$4:$X$43,0))</x:f>
      </x:c>
    </x:row>
  </x:sheetData>
  <x:mergeCells>
    <x:mergeCell ref="A1:Y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28" hidden="0" customWidth="1"/>
    <x:col min="7" max="7" width="14" hidden="0" customWidth="1"/>
  </x:cols>
  <x:sheetData>
    <x:row r="1" ht="25" customHeight="1">
      <x:c r="A1" s="4" t="str">
        <x:v>2025-2026学年第一学期 综合素质测评登记表（空白模板）</x:v>
      </x:c>
      <x:c r="B1" s="4"/>
      <x:c r="C1" s="4"/>
      <x:c r="D1" s="4"/>
      <x:c r="E1" s="4"/>
      <x:c r="F1" s="4"/>
      <x:c r="G1" s="4"/>
    </x:row>
    <x:row r="2">
      <x:c r="A2" s="6" t="str">
        <x:v>请按模块填写基础分、加分、扣分；扣分应填写正数，系统在公式中自动扣除。</x:v>
      </x:c>
      <x:c r="B2" s="6"/>
      <x:c r="C2" s="6"/>
      <x:c r="D2" s="6"/>
      <x:c r="E2" s="6"/>
      <x:c r="F2" s="6"/>
      <x:c r="G2" s="6"/>
    </x:row>
    <x:row r="4" ht="22" customHeight="1">
      <x:c r="A4" s="11" t="str">
        <x:v>模块</x:v>
      </x:c>
      <x:c r="B4" s="11" t="str">
        <x:v>基础分</x:v>
      </x:c>
      <x:c r="C4" s="11" t="str">
        <x:v>加分</x:v>
      </x:c>
      <x:c r="D4" s="11" t="str">
        <x:v>扣分</x:v>
      </x:c>
      <x:c r="E4" s="11" t="str">
        <x:v>模块得分</x:v>
      </x:c>
      <x:c r="F4" s="11" t="str">
        <x:v>核验说明</x:v>
      </x:c>
      <x:c r="G4" s="11" t="str">
        <x:v>审核状态</x:v>
      </x:c>
    </x:row>
    <x:row r="5" ht="22" customHeight="1">
      <x:c r="A5" s="36" t="str">
        <x:v>德育</x:v>
      </x:c>
      <x:c r="B5" s="13" t="n">
        <x:v>0</x:v>
      </x:c>
      <x:c r="C5" s="13" t="n">
        <x:v>0</x:v>
      </x:c>
      <x:c r="D5" s="13" t="n">
        <x:v>0</x:v>
      </x:c>
      <x:c r="E5" s="13" t="n">
        <x:f>B5+C5-D5</x:f>
        <x:v>0</x:v>
      </x:c>
      <x:c r="F5" s="12" t="str">
        <x:v>按有效证明材料核验</x:v>
      </x:c>
      <x:c r="G5" s="12" t="str">
        <x:v>待填报</x:v>
      </x:c>
    </x:row>
    <x:row r="6" ht="22" customHeight="1">
      <x:c r="A6" s="37" t="str">
        <x:v>智育</x:v>
      </x:c>
      <x:c r="B6" s="13" t="n">
        <x:v>0</x:v>
      </x:c>
      <x:c r="C6" s="13" t="n">
        <x:v>0</x:v>
      </x:c>
      <x:c r="D6" s="13" t="n">
        <x:v>0</x:v>
      </x:c>
      <x:c r="E6" s="13" t="n">
        <x:f>B6+C6-D6</x:f>
        <x:v>0</x:v>
      </x:c>
      <x:c r="F6" s="12" t="str">
        <x:v>按有效证明材料核验</x:v>
      </x:c>
      <x:c r="G6" s="12" t="str">
        <x:v>待填报</x:v>
      </x:c>
    </x:row>
    <x:row r="7" ht="22" customHeight="1">
      <x:c r="A7" s="38" t="str">
        <x:v>体育</x:v>
      </x:c>
      <x:c r="B7" s="13" t="n">
        <x:v>0</x:v>
      </x:c>
      <x:c r="C7" s="13" t="n">
        <x:v>0</x:v>
      </x:c>
      <x:c r="D7" s="13" t="n">
        <x:v>0</x:v>
      </x:c>
      <x:c r="E7" s="13" t="n">
        <x:f>B7+C7-D7</x:f>
        <x:v>0</x:v>
      </x:c>
      <x:c r="F7" s="12" t="str">
        <x:v>按有效证明材料核验</x:v>
      </x:c>
      <x:c r="G7" s="12" t="str">
        <x:v>待填报</x:v>
      </x:c>
    </x:row>
    <x:row r="8" ht="22" customHeight="1">
      <x:c r="A8" s="39" t="str">
        <x:v>美育</x:v>
      </x:c>
      <x:c r="B8" s="13" t="n">
        <x:v>0</x:v>
      </x:c>
      <x:c r="C8" s="13" t="n">
        <x:v>0</x:v>
      </x:c>
      <x:c r="D8" s="13" t="n">
        <x:v>0</x:v>
      </x:c>
      <x:c r="E8" s="13" t="n">
        <x:f>B8+C8-D8</x:f>
        <x:v>0</x:v>
      </x:c>
      <x:c r="F8" s="12" t="str">
        <x:v>按有效证明材料核验</x:v>
      </x:c>
      <x:c r="G8" s="12" t="str">
        <x:v>待填报</x:v>
      </x:c>
    </x:row>
    <x:row r="9" ht="22" customHeight="1">
      <x:c r="A9" s="40" t="str">
        <x:v>劳育</x:v>
      </x:c>
      <x:c r="B9" s="13" t="n">
        <x:v>0</x:v>
      </x:c>
      <x:c r="C9" s="13" t="n">
        <x:v>0</x:v>
      </x:c>
      <x:c r="D9" s="13" t="n">
        <x:v>0</x:v>
      </x:c>
      <x:c r="E9" s="13" t="n">
        <x:f>B9+C9-D9</x:f>
        <x:v>0</x:v>
      </x:c>
      <x:c r="F9" s="12" t="str">
        <x:v>按有效证明材料核验</x:v>
      </x:c>
      <x:c r="G9" s="12" t="str">
        <x:v>待填报</x:v>
      </x:c>
    </x:row>
    <x:row r="10" ht="22" customHeight="1">
      <x:c r="A10" s="41" t="str">
        <x:v>综合得分</x:v>
      </x:c>
      <x:c r="B10" s="42"/>
      <x:c r="C10" s="42"/>
      <x:c r="D10" s="42"/>
      <x:c r="E10" s="42" t="n">
        <x:f>SUM(E5:E9)</x:f>
        <x:v>0</x:v>
      </x:c>
      <x:c r="F10" s="41" t="str">
        <x:v>系统自动汇总</x:v>
      </x:c>
      <x:c r="G10" s="41" t="str">
        <x:v>待填报</x:v>
      </x:c>
    </x:row>
  </x:sheetData>
  <x:mergeCells>
    <x:mergeCell ref="A1:G1"/>
    <x:mergeCell ref="A2:G2"/>
  </x:mergeCells>
  <x:pageMargins left="0.7" right="0.7" top="0.75" bottom="0.75" header="0.3" footer="0.3"/>
</x:worksheet>
</file>